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hyrihu\Downloads\"/>
    </mc:Choice>
  </mc:AlternateContent>
  <xr:revisionPtr revIDLastSave="0" documentId="13_ncr:1_{D724499E-CD58-4D87-819E-D1B85975BBBF}" xr6:coauthVersionLast="47" xr6:coauthVersionMax="47" xr10:uidLastSave="{00000000-0000-0000-0000-000000000000}"/>
  <bookViews>
    <workbookView xWindow="-120" yWindow="-120" windowWidth="29040" windowHeight="15720" xr2:uid="{5CA734DC-4E02-4B64-9278-B9AF76D5181F}"/>
  </bookViews>
  <sheets>
    <sheet name="FE" sheetId="1" r:id="rId1"/>
    <sheet name="CONTABILIDAD" sheetId="2" r:id="rId2"/>
    <sheet name="COBRANZA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" l="1"/>
  <c r="T9" i="1"/>
  <c r="E5" i="1"/>
  <c r="T8" i="1"/>
  <c r="E4" i="1"/>
  <c r="P39" i="1"/>
  <c r="O39" i="1"/>
  <c r="N39" i="1"/>
  <c r="M39" i="1"/>
  <c r="L39" i="1"/>
  <c r="K39" i="1"/>
  <c r="J39" i="1"/>
  <c r="I39" i="1"/>
  <c r="H39" i="1"/>
  <c r="G39" i="1"/>
  <c r="F39" i="1"/>
  <c r="E39" i="1"/>
  <c r="P36" i="1"/>
  <c r="O36" i="1"/>
  <c r="N36" i="1"/>
  <c r="M36" i="1"/>
  <c r="L36" i="1"/>
  <c r="K36" i="1"/>
  <c r="J36" i="1"/>
  <c r="I36" i="1"/>
  <c r="H36" i="1"/>
  <c r="G36" i="1"/>
  <c r="F36" i="1"/>
  <c r="E36" i="1"/>
  <c r="P30" i="1"/>
  <c r="O30" i="1"/>
  <c r="N30" i="1"/>
  <c r="M30" i="1"/>
  <c r="M32" i="1" s="1"/>
  <c r="L30" i="1"/>
  <c r="K30" i="1"/>
  <c r="K32" i="1" s="1"/>
  <c r="J30" i="1"/>
  <c r="J32" i="1" s="1"/>
  <c r="I30" i="1"/>
  <c r="I32" i="1" s="1"/>
  <c r="H30" i="1"/>
  <c r="G30" i="1"/>
  <c r="F30" i="1"/>
  <c r="E30" i="1"/>
  <c r="P26" i="1"/>
  <c r="O26" i="1"/>
  <c r="N26" i="1"/>
  <c r="M26" i="1"/>
  <c r="L26" i="1"/>
  <c r="K26" i="1"/>
  <c r="J26" i="1"/>
  <c r="I26" i="1"/>
  <c r="H26" i="1"/>
  <c r="G26" i="1"/>
  <c r="F26" i="1"/>
  <c r="E26" i="1"/>
  <c r="P25" i="1"/>
  <c r="O25" i="1"/>
  <c r="N25" i="1"/>
  <c r="M25" i="1"/>
  <c r="L25" i="1"/>
  <c r="K25" i="1"/>
  <c r="J25" i="1"/>
  <c r="I25" i="1"/>
  <c r="H25" i="1"/>
  <c r="G25" i="1"/>
  <c r="F25" i="1"/>
  <c r="E25" i="1"/>
  <c r="P24" i="1"/>
  <c r="O24" i="1"/>
  <c r="N24" i="1"/>
  <c r="N23" i="1" s="1"/>
  <c r="M24" i="1"/>
  <c r="L24" i="1"/>
  <c r="K24" i="1"/>
  <c r="J24" i="1"/>
  <c r="I24" i="1"/>
  <c r="H24" i="1"/>
  <c r="G24" i="1"/>
  <c r="F24" i="1"/>
  <c r="E24" i="1"/>
  <c r="P18" i="1"/>
  <c r="O18" i="1"/>
  <c r="N18" i="1"/>
  <c r="M18" i="1"/>
  <c r="L18" i="1"/>
  <c r="K18" i="1"/>
  <c r="J18" i="1"/>
  <c r="I18" i="1"/>
  <c r="H18" i="1"/>
  <c r="G18" i="1"/>
  <c r="F18" i="1"/>
  <c r="E18" i="1"/>
  <c r="P16" i="1"/>
  <c r="O16" i="1"/>
  <c r="N16" i="1"/>
  <c r="M16" i="1"/>
  <c r="L16" i="1"/>
  <c r="K16" i="1"/>
  <c r="J16" i="1"/>
  <c r="I16" i="1"/>
  <c r="H16" i="1"/>
  <c r="G16" i="1"/>
  <c r="F16" i="1"/>
  <c r="E16" i="1"/>
  <c r="P15" i="1"/>
  <c r="O15" i="1"/>
  <c r="N15" i="1"/>
  <c r="M15" i="1"/>
  <c r="L15" i="1"/>
  <c r="K15" i="1"/>
  <c r="J15" i="1"/>
  <c r="I15" i="1"/>
  <c r="H15" i="1"/>
  <c r="G15" i="1"/>
  <c r="F15" i="1"/>
  <c r="E15" i="1"/>
  <c r="P14" i="1"/>
  <c r="O14" i="1"/>
  <c r="N14" i="1"/>
  <c r="M14" i="1"/>
  <c r="L14" i="1"/>
  <c r="K14" i="1"/>
  <c r="J14" i="1"/>
  <c r="I14" i="1"/>
  <c r="H14" i="1"/>
  <c r="G14" i="1"/>
  <c r="F14" i="1"/>
  <c r="E14" i="1"/>
  <c r="P13" i="1"/>
  <c r="O13" i="1"/>
  <c r="N13" i="1"/>
  <c r="M13" i="1"/>
  <c r="L13" i="1"/>
  <c r="K13" i="1"/>
  <c r="J13" i="1"/>
  <c r="I13" i="1"/>
  <c r="H13" i="1"/>
  <c r="G13" i="1"/>
  <c r="F13" i="1"/>
  <c r="E13" i="1"/>
  <c r="P12" i="1"/>
  <c r="P19" i="1" s="1"/>
  <c r="O12" i="1"/>
  <c r="N12" i="1"/>
  <c r="M12" i="1"/>
  <c r="M19" i="1" s="1"/>
  <c r="L12" i="1"/>
  <c r="K12" i="1"/>
  <c r="J12" i="1"/>
  <c r="J19" i="1" s="1"/>
  <c r="I12" i="1"/>
  <c r="H12" i="1"/>
  <c r="H19" i="1" s="1"/>
  <c r="G12" i="1"/>
  <c r="F12" i="1"/>
  <c r="E12" i="1"/>
  <c r="E19" i="1" s="1"/>
  <c r="P9" i="1"/>
  <c r="P6" i="1" s="1"/>
  <c r="O9" i="1"/>
  <c r="O37" i="1" s="1"/>
  <c r="N9" i="1"/>
  <c r="N37" i="1" s="1"/>
  <c r="M9" i="1"/>
  <c r="M37" i="1" s="1"/>
  <c r="L9" i="1"/>
  <c r="L6" i="1" s="1"/>
  <c r="K9" i="1"/>
  <c r="K6" i="1" s="1"/>
  <c r="J9" i="1"/>
  <c r="J6" i="1" s="1"/>
  <c r="I9" i="1"/>
  <c r="I6" i="1" s="1"/>
  <c r="H9" i="1"/>
  <c r="H37" i="1" s="1"/>
  <c r="G9" i="1"/>
  <c r="G37" i="1" s="1"/>
  <c r="F9" i="1"/>
  <c r="F37" i="1" s="1"/>
  <c r="E9" i="1"/>
  <c r="E37" i="1" s="1"/>
  <c r="G6" i="1"/>
  <c r="F6" i="1"/>
  <c r="P4" i="1"/>
  <c r="O4" i="1"/>
  <c r="N4" i="1"/>
  <c r="M4" i="1"/>
  <c r="L4" i="1"/>
  <c r="K4" i="1"/>
  <c r="J4" i="1"/>
  <c r="I4" i="1"/>
  <c r="H4" i="1"/>
  <c r="H10" i="1" s="1"/>
  <c r="G4" i="1"/>
  <c r="F4" i="1"/>
  <c r="P38" i="1"/>
  <c r="O38" i="1"/>
  <c r="N38" i="1"/>
  <c r="M38" i="1"/>
  <c r="L38" i="1"/>
  <c r="K38" i="1"/>
  <c r="J38" i="1"/>
  <c r="I38" i="1"/>
  <c r="H38" i="1"/>
  <c r="G38" i="1"/>
  <c r="F38" i="1"/>
  <c r="K37" i="1"/>
  <c r="E38" i="1"/>
  <c r="O6" i="1" l="1"/>
  <c r="L37" i="1"/>
  <c r="P37" i="1"/>
  <c r="N6" i="1"/>
  <c r="H6" i="1"/>
  <c r="N40" i="1"/>
  <c r="M40" i="1"/>
  <c r="G40" i="1"/>
  <c r="E40" i="1"/>
  <c r="F40" i="1"/>
  <c r="L23" i="1"/>
  <c r="L19" i="1"/>
  <c r="N10" i="1"/>
  <c r="H40" i="1"/>
  <c r="P23" i="1"/>
  <c r="O23" i="1"/>
  <c r="L32" i="1"/>
  <c r="H32" i="1"/>
  <c r="E32" i="1"/>
  <c r="J23" i="1"/>
  <c r="G19" i="1"/>
  <c r="K19" i="1"/>
  <c r="O10" i="1"/>
  <c r="P40" i="1"/>
  <c r="P32" i="1"/>
  <c r="M23" i="1"/>
  <c r="I23" i="1"/>
  <c r="G32" i="1"/>
  <c r="F32" i="1"/>
  <c r="H23" i="1"/>
  <c r="K10" i="1"/>
  <c r="P10" i="1"/>
  <c r="P21" i="1" s="1"/>
  <c r="L10" i="1"/>
  <c r="O40" i="1"/>
  <c r="O32" i="1"/>
  <c r="N32" i="1"/>
  <c r="F23" i="1"/>
  <c r="L40" i="1"/>
  <c r="K23" i="1"/>
  <c r="E23" i="1"/>
  <c r="G23" i="1"/>
  <c r="N19" i="1"/>
  <c r="F19" i="1"/>
  <c r="O19" i="1"/>
  <c r="I19" i="1"/>
  <c r="I10" i="1"/>
  <c r="J10" i="1"/>
  <c r="J21" i="1" s="1"/>
  <c r="I37" i="1"/>
  <c r="E6" i="1"/>
  <c r="M6" i="1"/>
  <c r="M10" i="1" s="1"/>
  <c r="M21" i="1" s="1"/>
  <c r="J37" i="1"/>
  <c r="J40" i="1"/>
  <c r="I40" i="1"/>
  <c r="K40" i="1"/>
  <c r="H21" i="1"/>
  <c r="G10" i="1"/>
  <c r="F10" i="1"/>
  <c r="E10" i="1"/>
  <c r="E21" i="1" s="1"/>
  <c r="E28" i="1" l="1"/>
  <c r="E34" i="1" s="1"/>
  <c r="F21" i="1"/>
  <c r="F28" i="1" s="1"/>
  <c r="M28" i="1"/>
  <c r="M34" i="1" s="1"/>
  <c r="O21" i="1"/>
  <c r="O28" i="1" s="1"/>
  <c r="O34" i="1" s="1"/>
  <c r="I21" i="1"/>
  <c r="I28" i="1" s="1"/>
  <c r="I34" i="1" s="1"/>
  <c r="J28" i="1"/>
  <c r="J34" i="1" s="1"/>
  <c r="P28" i="1"/>
  <c r="P34" i="1" s="1"/>
  <c r="N21" i="1"/>
  <c r="N28" i="1" s="1"/>
  <c r="N34" i="1" s="1"/>
  <c r="L21" i="1"/>
  <c r="L28" i="1" s="1"/>
  <c r="L34" i="1" s="1"/>
  <c r="K21" i="1"/>
  <c r="K28" i="1" s="1"/>
  <c r="K34" i="1" s="1"/>
  <c r="H28" i="1"/>
  <c r="H34" i="1" s="1"/>
  <c r="G21" i="1"/>
  <c r="G28" i="1" s="1"/>
  <c r="G34" i="1" s="1"/>
  <c r="F3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<sst xmlns="http://schemas.openxmlformats.org/spreadsheetml/2006/main" count="1182" uniqueCount="1112">
  <si>
    <t>AREA</t>
  </si>
  <si>
    <t>BANCOS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</si>
  <si>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</si>
  <si>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</si>
  <si>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</si>
  <si>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</si>
  <si>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</si>
  <si>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</si>
  <si>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</si>
  <si>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</si>
  <si>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</si>
  <si>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</si>
  <si>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</si>
  <si>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</si>
  <si>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CONTABLE</t>
  </si>
  <si>
    <t>SALDO INICIAL  BANCOS</t>
  </si>
  <si>
    <t>COI</t>
  </si>
  <si>
    <t>(+)</t>
  </si>
  <si>
    <t>DIGITAR IMPORTE MANUAL</t>
  </si>
  <si>
    <t xml:space="preserve">INGRESOS </t>
  </si>
  <si>
    <t>FORMULA</t>
  </si>
  <si>
    <t>(-)</t>
  </si>
  <si>
    <t xml:space="preserve">PAGOS A PROVEEDORES </t>
  </si>
  <si>
    <t>PAGOS A ACREEDORES</t>
  </si>
  <si>
    <t>PAGOS TARJETA CORPORATIVA</t>
  </si>
  <si>
    <t xml:space="preserve">PAGOS DE SUELDOS </t>
  </si>
  <si>
    <t>PAGOS DE IMPUESTOS (MES ANT)</t>
  </si>
  <si>
    <t>COMPRA FONDOS INVERSIÓN</t>
  </si>
  <si>
    <t>PAGOS DE COMISIONES BANCARIAS</t>
  </si>
  <si>
    <t xml:space="preserve">GASTOS </t>
  </si>
  <si>
    <t>(=)</t>
  </si>
  <si>
    <t>SALDO BANCARIO FINAL</t>
  </si>
  <si>
    <t xml:space="preserve">ADMINISTRACIÓN </t>
  </si>
  <si>
    <t xml:space="preserve">CUENTAS POR PAGAR </t>
  </si>
  <si>
    <t xml:space="preserve">CXP A PROVEEDORES </t>
  </si>
  <si>
    <t xml:space="preserve">CXP DE SUELDOS </t>
  </si>
  <si>
    <t xml:space="preserve">CXP DE IMPUESTOS </t>
  </si>
  <si>
    <t>EFECTIVO DISPONIBLE DESPUES DE CXP</t>
  </si>
  <si>
    <t xml:space="preserve">CUENTA POR COBRAR AL CIERRE </t>
  </si>
  <si>
    <t>COBRANZA JUDICIAL</t>
  </si>
  <si>
    <t>CUENTA POR COBRAR A CORTO PLAZO</t>
  </si>
  <si>
    <t>EFECTIVO DISPONIBLE DESPUES DE CXC</t>
  </si>
  <si>
    <t>NOTA:</t>
  </si>
  <si>
    <t xml:space="preserve">FONDO DE RESERVA </t>
  </si>
  <si>
    <t xml:space="preserve">INTERESES GANADOS </t>
  </si>
  <si>
    <t>TOTAL INVERSIÓN</t>
  </si>
  <si>
    <t xml:space="preserve">OTROS INGRESOS </t>
  </si>
  <si>
    <t>VENTA FONDOS INVERSIÓN</t>
  </si>
  <si>
    <t>NOMBRE DE CUENTA</t>
  </si>
  <si>
    <t>No. CUENTA</t>
  </si>
  <si>
    <t>Cuenta</t>
  </si>
  <si>
    <t>Descripción de la cuenta</t>
  </si>
  <si>
    <t>Saldo inicial</t>
  </si>
  <si>
    <t>Total de cargos</t>
  </si>
  <si>
    <t>Total de abonos</t>
  </si>
  <si>
    <t>Saldo final</t>
  </si>
  <si>
    <t>101-000-000</t>
  </si>
  <si>
    <t>CAJA CHICA</t>
  </si>
  <si>
    <t>101-001-000</t>
  </si>
  <si>
    <t>FONDO FIJO</t>
  </si>
  <si>
    <t>102-000-000</t>
  </si>
  <si>
    <t>102-001-000</t>
  </si>
  <si>
    <t>BANCOS M.N.</t>
  </si>
  <si>
    <t>102-001-001</t>
  </si>
  <si>
    <t>BBVA TDD FONDEADORA 7892</t>
  </si>
  <si>
    <t>102-001-002</t>
  </si>
  <si>
    <t>BBVA TDD ROYAL 3682</t>
  </si>
  <si>
    <t>102-001-003</t>
  </si>
  <si>
    <t>BBVA CHEQUES 3653 (MANTTO)</t>
  </si>
  <si>
    <t>102-001-004</t>
  </si>
  <si>
    <t>BBVA CHEQUES 3777 (EXTRA)</t>
  </si>
  <si>
    <t>102-002-000</t>
  </si>
  <si>
    <t>BANCOS USD</t>
  </si>
  <si>
    <t>102-002-001</t>
  </si>
  <si>
    <t>XXXX</t>
  </si>
  <si>
    <t>102-002-002</t>
  </si>
  <si>
    <t>103-000-000</t>
  </si>
  <si>
    <t>INVERSIONES</t>
  </si>
  <si>
    <t>103-001-000</t>
  </si>
  <si>
    <t>INVERSION M.N.</t>
  </si>
  <si>
    <t>103-001-001</t>
  </si>
  <si>
    <t>INVERSION MASARI</t>
  </si>
  <si>
    <t>103-001-002</t>
  </si>
  <si>
    <t>INVERSION BANORTE</t>
  </si>
  <si>
    <t>104-000-000</t>
  </si>
  <si>
    <t>CONDOMINOS</t>
  </si>
  <si>
    <t>104-001-000</t>
  </si>
  <si>
    <t>TORRE 1</t>
  </si>
  <si>
    <t>104-002-000</t>
  </si>
  <si>
    <t>TORRE 2</t>
  </si>
  <si>
    <t>104-003-000</t>
  </si>
  <si>
    <t>TORRE 3</t>
  </si>
  <si>
    <t>105-000-000</t>
  </si>
  <si>
    <t>DEUDORES DIVERSOS</t>
  </si>
  <si>
    <t>105-001-000</t>
  </si>
  <si>
    <t>FUNCIONARIOS Y EMPLEADOS</t>
  </si>
  <si>
    <t>105-001-001</t>
  </si>
  <si>
    <t>EDGAR CASTAÑEDA MONROY</t>
  </si>
  <si>
    <t>105-001-002</t>
  </si>
  <si>
    <t xml:space="preserve">SILVA LEDEZMA POLET </t>
  </si>
  <si>
    <t>105-001-003</t>
  </si>
  <si>
    <t>DIAZ HERNANDEZ ISIDORO</t>
  </si>
  <si>
    <t>105-001-004</t>
  </si>
  <si>
    <t>MENDOZA VELASCO ALFONSO</t>
  </si>
  <si>
    <t>105-001-005</t>
  </si>
  <si>
    <t>ROBLES MARTINEZ FERNANDIO</t>
  </si>
  <si>
    <t>105-001-006</t>
  </si>
  <si>
    <t>AIMEE ROSAS CORTES</t>
  </si>
  <si>
    <t>105-001-007</t>
  </si>
  <si>
    <t>TORIZ RODRIGUEZ JOSE</t>
  </si>
  <si>
    <t>105-001-008</t>
  </si>
  <si>
    <t>TORREZ IZQUIERDO ERASMO</t>
  </si>
  <si>
    <t>106-000-000</t>
  </si>
  <si>
    <t>SUBSIDIO AL EMPLEO</t>
  </si>
  <si>
    <t>106-001-000</t>
  </si>
  <si>
    <t>107-000-000</t>
  </si>
  <si>
    <t>IMPUESTOS A FAVOR</t>
  </si>
  <si>
    <t>107-001-000</t>
  </si>
  <si>
    <t>ISR RETENIDO POR INVERSIONES</t>
  </si>
  <si>
    <t>107-002-000</t>
  </si>
  <si>
    <t>ISR DE OTROS PERIODOS</t>
  </si>
  <si>
    <t>108-000-000</t>
  </si>
  <si>
    <t>IVA ACREDITABLE</t>
  </si>
  <si>
    <t>109-000-000</t>
  </si>
  <si>
    <t>PAGOS ANTICIPADOS</t>
  </si>
  <si>
    <t>109-001-000</t>
  </si>
  <si>
    <t>SEGUROS Y FIANZAS</t>
  </si>
  <si>
    <t>110-000-000</t>
  </si>
  <si>
    <t>ANTICIPO A PROVEEDORES</t>
  </si>
  <si>
    <t>110-001-000</t>
  </si>
  <si>
    <t>PROVEEDOR XX</t>
  </si>
  <si>
    <t>111-000-000</t>
  </si>
  <si>
    <t>INMUEBLES, MAQUINARIA Y EQUIPO</t>
  </si>
  <si>
    <t>111-001-000</t>
  </si>
  <si>
    <t>EQUIPO DE COMPUTO</t>
  </si>
  <si>
    <t>112-000-000</t>
  </si>
  <si>
    <t>DEPRECIACION ACUMULADA DE ACTIVO FIJO</t>
  </si>
  <si>
    <t>112-001-000</t>
  </si>
  <si>
    <t>DA EQUIPO DE COMPUTO</t>
  </si>
  <si>
    <t>201-000-000</t>
  </si>
  <si>
    <t>PROVEEDORES</t>
  </si>
  <si>
    <t>201-001-000</t>
  </si>
  <si>
    <t>PROVEEDORES MXN</t>
  </si>
  <si>
    <t>201-001-001</t>
  </si>
  <si>
    <t>CFE SUMINISTRADOR DE SERVICIOS BASICOS</t>
  </si>
  <si>
    <t>201-001-002</t>
  </si>
  <si>
    <t>TOTAL PLAY TELECOMUNICACIONES</t>
  </si>
  <si>
    <t>201-001-003</t>
  </si>
  <si>
    <t xml:space="preserve">TELEFONOS DE MEXICO </t>
  </si>
  <si>
    <t>201-001-004</t>
  </si>
  <si>
    <t>TECNO AVIV</t>
  </si>
  <si>
    <t>201-001-005</t>
  </si>
  <si>
    <t>GRUPO PROMOCIONAL DE LIMPIEZA SALMAR</t>
  </si>
  <si>
    <t>201-001-006</t>
  </si>
  <si>
    <t xml:space="preserve">NACIONAL GAS ROYAL </t>
  </si>
  <si>
    <t>201-001-007</t>
  </si>
  <si>
    <t>JARDINERIA 2000</t>
  </si>
  <si>
    <t>201-001-008</t>
  </si>
  <si>
    <t>SOLUCIONES ADMINISTRATIVAS HAUS</t>
  </si>
  <si>
    <t>201-001-009</t>
  </si>
  <si>
    <t xml:space="preserve">LUXURY BUILDING GROUP </t>
  </si>
  <si>
    <t>201-001-010</t>
  </si>
  <si>
    <t>CORPORACION NOVAVISION</t>
  </si>
  <si>
    <t>201-001-011</t>
  </si>
  <si>
    <t>BOTTEGA GOURMET BOSQUES</t>
  </si>
  <si>
    <t>201-001-012</t>
  </si>
  <si>
    <t>ARCHPOINT</t>
  </si>
  <si>
    <t>201-001-013</t>
  </si>
  <si>
    <t>JORGE CORTES BUENROSTRO</t>
  </si>
  <si>
    <t>201-001-014</t>
  </si>
  <si>
    <t>COORDINADORA DE SERVICIOS OPERA</t>
  </si>
  <si>
    <t>201-001-015</t>
  </si>
  <si>
    <t>BIO GREEN PRODUCTS</t>
  </si>
  <si>
    <t>201-001-016</t>
  </si>
  <si>
    <t>MARIA VICTORIA SAMANO COTO</t>
  </si>
  <si>
    <t>201-001-017</t>
  </si>
  <si>
    <t>CREATIO ESPACIOS INTELIGENTES MEXICO</t>
  </si>
  <si>
    <t>201-001-018</t>
  </si>
  <si>
    <t>AHORRO DE ENERGIA POR SIEMPRE</t>
  </si>
  <si>
    <t>201-001-019</t>
  </si>
  <si>
    <t>VICTOR MANUEL MONTAÑO CORNEJO</t>
  </si>
  <si>
    <t>201-001-020</t>
  </si>
  <si>
    <t>AMNER GOMEZ VAZQUEZ</t>
  </si>
  <si>
    <t>201-001-021</t>
  </si>
  <si>
    <t>OSCAR SANCHEZ RODRIGUEZ</t>
  </si>
  <si>
    <t>201-001-022</t>
  </si>
  <si>
    <t>DOMINGO CRUZ ESCOBAR</t>
  </si>
  <si>
    <t>201-001-023</t>
  </si>
  <si>
    <t>JESSY TOTAH MASLATON DE BISSU</t>
  </si>
  <si>
    <t>201-001-024</t>
  </si>
  <si>
    <t>MARIA ELENA AGUILERA ESTRADA</t>
  </si>
  <si>
    <t>201-001-025</t>
  </si>
  <si>
    <t>INTEGRADORA DE ESPECTACULOS GUADALAJARA</t>
  </si>
  <si>
    <t>201-001-026</t>
  </si>
  <si>
    <t xml:space="preserve">COMERCIAL CITY FRESKO </t>
  </si>
  <si>
    <t>201-001-027</t>
  </si>
  <si>
    <t>SILVIA PEREZ VARGAS</t>
  </si>
  <si>
    <t>201-001-028</t>
  </si>
  <si>
    <t>EDGAR AARON MENDEZ RAMIRZ</t>
  </si>
  <si>
    <t>201-001-029</t>
  </si>
  <si>
    <t xml:space="preserve">ALEJANDRA MEJIA HERNANDEZ </t>
  </si>
  <si>
    <t>201-001-030</t>
  </si>
  <si>
    <t>PROPIMEX</t>
  </si>
  <si>
    <t>201-001-031</t>
  </si>
  <si>
    <t>EXCLUSIVAS FARO</t>
  </si>
  <si>
    <t>201-001-032</t>
  </si>
  <si>
    <t>FANTASIAS MIGUEL</t>
  </si>
  <si>
    <t>201-001-033</t>
  </si>
  <si>
    <t>VIDAL CARLOS VARGAS DURAN</t>
  </si>
  <si>
    <t>201-001-034</t>
  </si>
  <si>
    <t>NUEVA WAL MART DE MEXICO</t>
  </si>
  <si>
    <t>201-001-035</t>
  </si>
  <si>
    <t>SHLOMO STEVEN DOUEK WEISER</t>
  </si>
  <si>
    <t>201-001-036</t>
  </si>
  <si>
    <t>ELECTRONICA STEREN</t>
  </si>
  <si>
    <t>201-001-037</t>
  </si>
  <si>
    <t>ALMA YOLANDA GARCIA</t>
  </si>
  <si>
    <t>201-001-038</t>
  </si>
  <si>
    <t>ASESORIA CONTABLE Y FISCAL MAFE</t>
  </si>
  <si>
    <t>201-001-039</t>
  </si>
  <si>
    <t>JOSE LUIS SANCHEZ ARRIESTA</t>
  </si>
  <si>
    <t>201-001-040</t>
  </si>
  <si>
    <t>MIGUEL ANGEL RIVERA ZAVALA</t>
  </si>
  <si>
    <t>201-001-041</t>
  </si>
  <si>
    <t>MIGUEL RUEDA JIMENEZ</t>
  </si>
  <si>
    <t>201-001-042</t>
  </si>
  <si>
    <t>FREDI MARTINEZ GARCIA</t>
  </si>
  <si>
    <t>201-001-043</t>
  </si>
  <si>
    <t>JAIME ABUD MUSTRI</t>
  </si>
  <si>
    <t>201-001-044</t>
  </si>
  <si>
    <t>SUPER MATERIALES STA CLARA</t>
  </si>
  <si>
    <t>201-001-045</t>
  </si>
  <si>
    <t>PAPELERIA Y COMSUBIBLES MARDI</t>
  </si>
  <si>
    <t>201-001-046</t>
  </si>
  <si>
    <t>RUBEN NOGUEDA ARCOS</t>
  </si>
  <si>
    <t>201-001-047</t>
  </si>
  <si>
    <t>ZURICH ASEGURADORA MEXICANA</t>
  </si>
  <si>
    <t>201-001-048</t>
  </si>
  <si>
    <t>SOLUCIONES EN AGUA MAIN</t>
  </si>
  <si>
    <t>201-001-049</t>
  </si>
  <si>
    <t>ARTICULOS PARA EL HOGAR EL FENIX</t>
  </si>
  <si>
    <t>201-001-050</t>
  </si>
  <si>
    <t>ER STYLE GROUP</t>
  </si>
  <si>
    <t>201-001-051</t>
  </si>
  <si>
    <t>SUPORTIKA DE MEXICO</t>
  </si>
  <si>
    <t>201-001-052</t>
  </si>
  <si>
    <t>ILIANA KAHAN BABANI</t>
  </si>
  <si>
    <t>201-001-053</t>
  </si>
  <si>
    <t>COMERCIALIZ. Y PRESTADORA SERV. ABAMEX</t>
  </si>
  <si>
    <t>201-001-078</t>
  </si>
  <si>
    <t>SERGIO OJEDA HERNANDEZ</t>
  </si>
  <si>
    <t>201-001-079</t>
  </si>
  <si>
    <t>ALEJANDRO CORRAL SIXTO</t>
  </si>
  <si>
    <t>201-001-080</t>
  </si>
  <si>
    <t>CLAUDIA ROSALINDA JIMENEZ MEJIA</t>
  </si>
  <si>
    <t>201-001-081</t>
  </si>
  <si>
    <t>NATHALY SHAKALU TUACHI</t>
  </si>
  <si>
    <t>201-001-082</t>
  </si>
  <si>
    <t>ADAN ISAI NIÑO IBARRA</t>
  </si>
  <si>
    <t>201-001-083</t>
  </si>
  <si>
    <t>JULIO CESAR SAENZ ACEVEDO</t>
  </si>
  <si>
    <t>201-001-084</t>
  </si>
  <si>
    <t>AJA VIDRIOS Y ALUMINIO</t>
  </si>
  <si>
    <t>201-001-085</t>
  </si>
  <si>
    <t xml:space="preserve">JORGE GONZALEZ BAEZ </t>
  </si>
  <si>
    <t>201-001-086</t>
  </si>
  <si>
    <t xml:space="preserve">KONE MEXICO </t>
  </si>
  <si>
    <t>201-001-087</t>
  </si>
  <si>
    <t xml:space="preserve">JOSE JOAQUIN GONZALEZ GARCIA </t>
  </si>
  <si>
    <t>201-001-088</t>
  </si>
  <si>
    <t>DANIELA BETECH NISSAN</t>
  </si>
  <si>
    <t>201-001-089</t>
  </si>
  <si>
    <t xml:space="preserve">ERNESTO DE JESUS CASTILLO LEMUS </t>
  </si>
  <si>
    <t>201-001-090</t>
  </si>
  <si>
    <t>COMERCIALIZADORA IJ</t>
  </si>
  <si>
    <t>201-001-091</t>
  </si>
  <si>
    <t>LETICIA ROBLES DIAZ</t>
  </si>
  <si>
    <t>201-001-092</t>
  </si>
  <si>
    <t>SANDRA VERONICA SANTANA DE ANDA</t>
  </si>
  <si>
    <t>201-001-093</t>
  </si>
  <si>
    <t>GABRIELA HERNANDEZ MORALES</t>
  </si>
  <si>
    <t>201-001-094</t>
  </si>
  <si>
    <t>PROVEEDORA DE PINTURA ARZE</t>
  </si>
  <si>
    <t>201-001-095</t>
  </si>
  <si>
    <t>DELFINA MONTIEL GARCIA</t>
  </si>
  <si>
    <t>201-001-096</t>
  </si>
  <si>
    <t>LUIS OUSSET</t>
  </si>
  <si>
    <t>201-001-097</t>
  </si>
  <si>
    <t>LETICIA GALINDO ROMERO</t>
  </si>
  <si>
    <t>201-001-098</t>
  </si>
  <si>
    <t>DISTRIBUIDORA DE RECURSOS PISCINAS SA CV</t>
  </si>
  <si>
    <t>201-001-099</t>
  </si>
  <si>
    <t>2 ALFA PARKING, SA DE CV</t>
  </si>
  <si>
    <t>201-001-100</t>
  </si>
  <si>
    <t>NATALIA SALAMONOVITZ KAHAN</t>
  </si>
  <si>
    <t>201-001-101</t>
  </si>
  <si>
    <t>OSVALDO HERNANDEZ MARBAN</t>
  </si>
  <si>
    <t>201-001-102</t>
  </si>
  <si>
    <t>ALFONSO MUNIVE CASTILLO</t>
  </si>
  <si>
    <t>201-001-103</t>
  </si>
  <si>
    <t>JULIO GUADALUPE GARCIA ZARAGOZA</t>
  </si>
  <si>
    <t>201-001-104</t>
  </si>
  <si>
    <t>DISTRIBUIDORA TAMEX, SAPI DE CV</t>
  </si>
  <si>
    <t>201-001-105</t>
  </si>
  <si>
    <t xml:space="preserve">FRANCISCO YUM HAAK CHAVEZ GOMEZ </t>
  </si>
  <si>
    <t>201-001-106</t>
  </si>
  <si>
    <t>IVAN VAZQUEZ MARROQUIN</t>
  </si>
  <si>
    <t>201-001-107</t>
  </si>
  <si>
    <t>EVELINA CONTRERAS ARIAS</t>
  </si>
  <si>
    <t>201-001-108</t>
  </si>
  <si>
    <t xml:space="preserve">GRUPO ARTYOHA </t>
  </si>
  <si>
    <t>201-001-109</t>
  </si>
  <si>
    <t>TERESA IBARRA MENENDEZ</t>
  </si>
  <si>
    <t>201-001-110</t>
  </si>
  <si>
    <t xml:space="preserve">CYBER PUERTAS </t>
  </si>
  <si>
    <t>201-001-111</t>
  </si>
  <si>
    <t>ANTONIO MORALES LINAS</t>
  </si>
  <si>
    <t>201-001-112</t>
  </si>
  <si>
    <t xml:space="preserve">ALEJANDRA CERVERA ORTIZ DE LA PEÑA </t>
  </si>
  <si>
    <t>201-001-113</t>
  </si>
  <si>
    <t>ELECTRONICA STEREN, S.A. DE C.V.</t>
  </si>
  <si>
    <t>201-001-114</t>
  </si>
  <si>
    <t>EUROASCENSORES</t>
  </si>
  <si>
    <t>201-001-115</t>
  </si>
  <si>
    <t>INSTALACIONES INDUSTRIALES ZADCA</t>
  </si>
  <si>
    <t>201-001-116</t>
  </si>
  <si>
    <t>MSI EN ACCION</t>
  </si>
  <si>
    <t>201-001-117</t>
  </si>
  <si>
    <t>SOLUCIONES CORPORATIVAS</t>
  </si>
  <si>
    <t>201-001-118</t>
  </si>
  <si>
    <t>JESSICA SANCHEZ LERA</t>
  </si>
  <si>
    <t>201-001-119</t>
  </si>
  <si>
    <t>TECMA COMERCIALIZADORA MSJ</t>
  </si>
  <si>
    <t>201-001-120</t>
  </si>
  <si>
    <t>IUPICK</t>
  </si>
  <si>
    <t>201-001-121</t>
  </si>
  <si>
    <t>EL SURTIDOR</t>
  </si>
  <si>
    <t>201-001-122</t>
  </si>
  <si>
    <t>ESMERALDA CORONA MORENO</t>
  </si>
  <si>
    <t>201-001-123</t>
  </si>
  <si>
    <t>LA ESQUINA DE ORO</t>
  </si>
  <si>
    <t>201-001-124</t>
  </si>
  <si>
    <t>RICARDO AVILA MORALES</t>
  </si>
  <si>
    <t>201-001-125</t>
  </si>
  <si>
    <t>MARIA ELVIRA DURAN QUEZADA</t>
  </si>
  <si>
    <t>201-001-126</t>
  </si>
  <si>
    <t>MANUFACTURAS ISINOX</t>
  </si>
  <si>
    <t>201-001-127</t>
  </si>
  <si>
    <t>BLACO SPORT</t>
  </si>
  <si>
    <t>201-001-128</t>
  </si>
  <si>
    <t>STANLEY MAGIC DOOR</t>
  </si>
  <si>
    <t>201-001-129</t>
  </si>
  <si>
    <t xml:space="preserve">UP GRADE SMART &amp; GREAT </t>
  </si>
  <si>
    <t>201-001-130</t>
  </si>
  <si>
    <t>JOSE IGNACIO LOPEZ PEREZ</t>
  </si>
  <si>
    <t>201-001-131</t>
  </si>
  <si>
    <t>AVILA ARANA ASESORES</t>
  </si>
  <si>
    <t>201-001-132</t>
  </si>
  <si>
    <t xml:space="preserve">GRUPO TESEK </t>
  </si>
  <si>
    <t>201-001-133</t>
  </si>
  <si>
    <t xml:space="preserve">SCCALA </t>
  </si>
  <si>
    <t>201-001-134</t>
  </si>
  <si>
    <t>IVAN BARCENAS PADILLA</t>
  </si>
  <si>
    <t>201-001-135</t>
  </si>
  <si>
    <t>PAMELA ARIEL ORTEGA BOJORQUEZ</t>
  </si>
  <si>
    <t>201-001-136</t>
  </si>
  <si>
    <t>MARISELA TORRES MOLANO</t>
  </si>
  <si>
    <t>201-001-137</t>
  </si>
  <si>
    <t xml:space="preserve">BONANZA MANUFACTURING </t>
  </si>
  <si>
    <t>201-001-138</t>
  </si>
  <si>
    <t>FARMACIAS SIMITLA</t>
  </si>
  <si>
    <t>201-001-139</t>
  </si>
  <si>
    <t>PROVEEDORES G</t>
  </si>
  <si>
    <t>201-001-140</t>
  </si>
  <si>
    <t>GRUPO SHEMESH ADMINISTRATION, S.A. DE C.</t>
  </si>
  <si>
    <t>201-001-141</t>
  </si>
  <si>
    <t>GRUPO MTDI, S.A DE C.V.</t>
  </si>
  <si>
    <t>201-001-142</t>
  </si>
  <si>
    <t>GRUPO INTEGRAL FCSS S.A DE C.V</t>
  </si>
  <si>
    <t>201-001-143</t>
  </si>
  <si>
    <t>GROUTING &amp; SOIL SOLUTIONS, S.A DE C.V.</t>
  </si>
  <si>
    <t>201-001-144</t>
  </si>
  <si>
    <t>GONZALEZ PANTOJA ADRIANA GUADALUPE</t>
  </si>
  <si>
    <t>201-001-145</t>
  </si>
  <si>
    <t>GUTIERREZ SANCHEZ JORGE</t>
  </si>
  <si>
    <t>201-001-146</t>
  </si>
  <si>
    <t>GONZALEZ CRUZ SERGIO</t>
  </si>
  <si>
    <t>201-001-147</t>
  </si>
  <si>
    <t>GRUPO HORTICOLA CIMA NEVADA SPR DE RI</t>
  </si>
  <si>
    <t>201-001-148</t>
  </si>
  <si>
    <t>GRUPO DE CONSTRUCCION SIMEPOX</t>
  </si>
  <si>
    <t>201-001-149</t>
  </si>
  <si>
    <t>GRUPO EN SOLUCIONES LAN GSI SA DE CV</t>
  </si>
  <si>
    <t>201-001-150</t>
  </si>
  <si>
    <t>JESSICA GARCIA MELENDREZ</t>
  </si>
  <si>
    <t>201-001-151</t>
  </si>
  <si>
    <t>GRUPO RESTAURANTERO BLUM</t>
  </si>
  <si>
    <t>201-001-152</t>
  </si>
  <si>
    <t>GUTIERREZ PEREZ RICARDO</t>
  </si>
  <si>
    <t>201-001-153</t>
  </si>
  <si>
    <t>GRUPO AUTOMOTRIZ ELECTRIC POWER S. DE R.</t>
  </si>
  <si>
    <t>201-001-154</t>
  </si>
  <si>
    <t>GARCIA DIAZ ABEL</t>
  </si>
  <si>
    <t>201-001-155</t>
  </si>
  <si>
    <t>GABARRO FERNANDEZ MARIANA</t>
  </si>
  <si>
    <t>201-001-156</t>
  </si>
  <si>
    <t>ULISES ANTONIO GOMEZ</t>
  </si>
  <si>
    <t>201-001-157</t>
  </si>
  <si>
    <t>GETSMARTCA</t>
  </si>
  <si>
    <t>201-001-158</t>
  </si>
  <si>
    <t>GPDC ESTACIONES DE SERVICIO</t>
  </si>
  <si>
    <t>201-001-159</t>
  </si>
  <si>
    <t>GOBIERNO DEL ESTADO DE MEXICO</t>
  </si>
  <si>
    <t>201-001-160</t>
  </si>
  <si>
    <t>GRUPO BIMEC</t>
  </si>
  <si>
    <t>201-001-161</t>
  </si>
  <si>
    <t>GRUPO APORD</t>
  </si>
  <si>
    <t>201-001-162</t>
  </si>
  <si>
    <t>GABRIEL ENRIQUE SALAZAR ROJAS</t>
  </si>
  <si>
    <t>201-001-163</t>
  </si>
  <si>
    <t>GERARDO LOPEZ JAIME</t>
  </si>
  <si>
    <t>201-001-164</t>
  </si>
  <si>
    <t>GRUPO TESEK SOLUCIONES</t>
  </si>
  <si>
    <t>201-001-165</t>
  </si>
  <si>
    <t>GRUPO DIPINTI</t>
  </si>
  <si>
    <t>201-001-166</t>
  </si>
  <si>
    <t>GRUPO SILGO</t>
  </si>
  <si>
    <t>201-001-167</t>
  </si>
  <si>
    <t>PROVEEDORES H</t>
  </si>
  <si>
    <t>201-001-168</t>
  </si>
  <si>
    <t>HELCO ALTA TECNOLOGIA EN ELEVADORES SC</t>
  </si>
  <si>
    <t>201-001-169</t>
  </si>
  <si>
    <t>HERNANDEZ MEJIA JOSE MANUEL</t>
  </si>
  <si>
    <t>201-001-170</t>
  </si>
  <si>
    <t>HERRERA PADILLA RICARDO</t>
  </si>
  <si>
    <t>201-001-171</t>
  </si>
  <si>
    <t>HOME DEPOT MEXICO, S. DE R.L. DE C.V.</t>
  </si>
  <si>
    <t>201-001-172</t>
  </si>
  <si>
    <t>HUERTA RAMIREZ HECTOR</t>
  </si>
  <si>
    <t>201-001-173</t>
  </si>
  <si>
    <t>HIGIENICOS SIAVI, SA DE CV</t>
  </si>
  <si>
    <t>201-001-174</t>
  </si>
  <si>
    <t>HERNANDEZ CERVANTES MOISES OCTAVIO</t>
  </si>
  <si>
    <t>201-001-175</t>
  </si>
  <si>
    <t>HUICHENG</t>
  </si>
  <si>
    <t>201-001-176</t>
  </si>
  <si>
    <t>H  M HENNES  MAURITZ</t>
  </si>
  <si>
    <t>201-001-177</t>
  </si>
  <si>
    <t>ALFREDO GERMAN PEREZ GUTIERREZ</t>
  </si>
  <si>
    <t>201-002-000</t>
  </si>
  <si>
    <t>PROVEEDORES PROYECTOS</t>
  </si>
  <si>
    <t>201-002-001</t>
  </si>
  <si>
    <t>PIU INGENIEROS Y ARQUITECTOS</t>
  </si>
  <si>
    <t>201-002-002</t>
  </si>
  <si>
    <t>RODOLFO ARIAS DELGADO</t>
  </si>
  <si>
    <t>201-002-003</t>
  </si>
  <si>
    <t>201-002-004</t>
  </si>
  <si>
    <t>201-002-005</t>
  </si>
  <si>
    <t>ELEVADOR ATLAS MEXICO</t>
  </si>
  <si>
    <t>202-000-000</t>
  </si>
  <si>
    <t>ACREEDORES</t>
  </si>
  <si>
    <t>202-001-000</t>
  </si>
  <si>
    <t>DEPOSITOS EN GARANTIA</t>
  </si>
  <si>
    <t>202-001-001</t>
  </si>
  <si>
    <t>RESIDENTE 1</t>
  </si>
  <si>
    <t>202-001-002</t>
  </si>
  <si>
    <t>RESIDENTE 2</t>
  </si>
  <si>
    <t>202-002-000</t>
  </si>
  <si>
    <t>OTROS ACREEDORES</t>
  </si>
  <si>
    <t>202-002-001</t>
  </si>
  <si>
    <t>XXX</t>
  </si>
  <si>
    <t>203-000-000</t>
  </si>
  <si>
    <t>ANTICIPO DE CLIENTES</t>
  </si>
  <si>
    <t>203-001-000</t>
  </si>
  <si>
    <t>203-002-000</t>
  </si>
  <si>
    <t>203-003-000</t>
  </si>
  <si>
    <t>204-000-000</t>
  </si>
  <si>
    <t>SUELDOS Y SALARIOS POR PAGAR</t>
  </si>
  <si>
    <t>204-001-000</t>
  </si>
  <si>
    <t>SUELDOS POR PAGAR</t>
  </si>
  <si>
    <t>205-000-000</t>
  </si>
  <si>
    <t>CONTRIBUCIONES DE SEGURIDAD SOCIAL POR P</t>
  </si>
  <si>
    <t>205-001-000</t>
  </si>
  <si>
    <t>IMSS PATRONAL</t>
  </si>
  <si>
    <t>205-002-000</t>
  </si>
  <si>
    <t>SAR</t>
  </si>
  <si>
    <t>205-003-000</t>
  </si>
  <si>
    <t>INFONAVIT PATRONAL</t>
  </si>
  <si>
    <t>206-000-000</t>
  </si>
  <si>
    <t>IMPUESTOS POR PAGAR</t>
  </si>
  <si>
    <t>206-001-000</t>
  </si>
  <si>
    <t>ISR POR PAGAR</t>
  </si>
  <si>
    <t>206-002-000</t>
  </si>
  <si>
    <t>IMPUESTO SOBRE NOMINAS</t>
  </si>
  <si>
    <t>207-000-000</t>
  </si>
  <si>
    <t>IMPUESTOS RETENIDOS</t>
  </si>
  <si>
    <t>207-001-000</t>
  </si>
  <si>
    <t>ISR RETENIDO POR SUELDOS</t>
  </si>
  <si>
    <t>207-002-000</t>
  </si>
  <si>
    <t>IMSS Y CV OBRERO</t>
  </si>
  <si>
    <t>207-003-000</t>
  </si>
  <si>
    <t>IVA HONORARIOS</t>
  </si>
  <si>
    <t>207-004-000</t>
  </si>
  <si>
    <t>ISR HONORARIOS</t>
  </si>
  <si>
    <t>207-005-000</t>
  </si>
  <si>
    <t>ISR RESICO</t>
  </si>
  <si>
    <t>207-006-000</t>
  </si>
  <si>
    <t>IVA FLETES</t>
  </si>
  <si>
    <t>208-000-000</t>
  </si>
  <si>
    <t>PAGOS POR CUENTA DE TERCEROS</t>
  </si>
  <si>
    <t>208-001-000</t>
  </si>
  <si>
    <t>INFONAVIT OBRERO</t>
  </si>
  <si>
    <t>208-002-000</t>
  </si>
  <si>
    <t>FONACOT OBRERO</t>
  </si>
  <si>
    <t>301-000-000</t>
  </si>
  <si>
    <t>PATRIMINIO</t>
  </si>
  <si>
    <t>301-001-000</t>
  </si>
  <si>
    <t>PATRIMONIO INICIAL</t>
  </si>
  <si>
    <t>302-000-000</t>
  </si>
  <si>
    <t>REMANENTE DEL EJERCICIO</t>
  </si>
  <si>
    <t>302-001-000</t>
  </si>
  <si>
    <t>302-002-000</t>
  </si>
  <si>
    <t>DEFICIT DEL EJERCICIO</t>
  </si>
  <si>
    <t>303-000-000</t>
  </si>
  <si>
    <t>REMANENTES DE EJECICIOS ANTERIORES</t>
  </si>
  <si>
    <t>303-001-000</t>
  </si>
  <si>
    <t>303-002-000</t>
  </si>
  <si>
    <t>304-000-000</t>
  </si>
  <si>
    <t>FONDO DE RESERVA</t>
  </si>
  <si>
    <t>304-001-000</t>
  </si>
  <si>
    <t>304-002-000</t>
  </si>
  <si>
    <t>INTERESES FONDO DE RESERVA</t>
  </si>
  <si>
    <t>305-000-000</t>
  </si>
  <si>
    <t>FONDO DE OBRAS Y MEJORAS</t>
  </si>
  <si>
    <t>305-001-000</t>
  </si>
  <si>
    <t>306-000-000</t>
  </si>
  <si>
    <t>RESULTADO DEL EJERCICIO</t>
  </si>
  <si>
    <t>306-001-000</t>
  </si>
  <si>
    <t>400-000-000</t>
  </si>
  <si>
    <t>INGRESOS</t>
  </si>
  <si>
    <t>401-000-000</t>
  </si>
  <si>
    <t>INGRESOS POR CUOTAS</t>
  </si>
  <si>
    <t>401-001-000</t>
  </si>
  <si>
    <t>INGRESOS POR CUOTAS MANTTO</t>
  </si>
  <si>
    <t>401-001-001</t>
  </si>
  <si>
    <t>CUOTAS DE MTTO</t>
  </si>
  <si>
    <t>401-001-002</t>
  </si>
  <si>
    <t>INTERES MORATORIO</t>
  </si>
  <si>
    <t>401-001-003</t>
  </si>
  <si>
    <t>MULTAS</t>
  </si>
  <si>
    <t>401-001-004</t>
  </si>
  <si>
    <t>USO DE SALON</t>
  </si>
  <si>
    <t>401-001-005</t>
  </si>
  <si>
    <t>USO DE ASADORES</t>
  </si>
  <si>
    <t>401-001-006</t>
  </si>
  <si>
    <t>TARJETAS DE ACCESO</t>
  </si>
  <si>
    <t>401-001-007</t>
  </si>
  <si>
    <t>DESCUENTO POR PRONTO PAGO</t>
  </si>
  <si>
    <t>401-001-008</t>
  </si>
  <si>
    <t>RESTAURANTE SERVICIOS</t>
  </si>
  <si>
    <t>401-001-009</t>
  </si>
  <si>
    <t>CLASES DE PILATES</t>
  </si>
  <si>
    <t>401-001-010</t>
  </si>
  <si>
    <t>CLASES 2</t>
  </si>
  <si>
    <t>401-001-011</t>
  </si>
  <si>
    <t>CLASES 3</t>
  </si>
  <si>
    <t>401-001-012</t>
  </si>
  <si>
    <t>CLASES 4</t>
  </si>
  <si>
    <t>401-001-013</t>
  </si>
  <si>
    <t>CLASES 5</t>
  </si>
  <si>
    <t>402-000-000</t>
  </si>
  <si>
    <t>CUOTAS EXTRAORDINARIAS</t>
  </si>
  <si>
    <t>402-001-000</t>
  </si>
  <si>
    <t>402-001-001</t>
  </si>
  <si>
    <t>403-000-000</t>
  </si>
  <si>
    <t>PRODUCTOS FINANCEROS</t>
  </si>
  <si>
    <t>403-001-000</t>
  </si>
  <si>
    <t>INTERESES GANADOS</t>
  </si>
  <si>
    <t>403-001-001</t>
  </si>
  <si>
    <t>INTERESES GANADOS MASARI</t>
  </si>
  <si>
    <t>403-001-002</t>
  </si>
  <si>
    <t>INTERESES GANADOS BANORTE</t>
  </si>
  <si>
    <t>403-001-003</t>
  </si>
  <si>
    <t>GANANCIA CAMBIARIA</t>
  </si>
  <si>
    <t>404-000-000</t>
  </si>
  <si>
    <t>OTROS INGRESOS</t>
  </si>
  <si>
    <t>404-001-000</t>
  </si>
  <si>
    <t>404-001-001</t>
  </si>
  <si>
    <t>RECUPERACION DE SEGUROS</t>
  </si>
  <si>
    <t>404-001-002</t>
  </si>
  <si>
    <t>REGALIAS</t>
  </si>
  <si>
    <t>404-001-003</t>
  </si>
  <si>
    <t>600-000-000</t>
  </si>
  <si>
    <t>GASTOS GENERALES</t>
  </si>
  <si>
    <t>601-000-000</t>
  </si>
  <si>
    <t>GASTOS DE PERSONAL</t>
  </si>
  <si>
    <t>601-001-000</t>
  </si>
  <si>
    <t>SUELDOS Y PRESTACIONES</t>
  </si>
  <si>
    <t>601-001-001</t>
  </si>
  <si>
    <t>SUELDO</t>
  </si>
  <si>
    <t>601-001-002</t>
  </si>
  <si>
    <t>HORAS EXTRA</t>
  </si>
  <si>
    <t>601-001-003</t>
  </si>
  <si>
    <t>DIAS FESTIVOS</t>
  </si>
  <si>
    <t>601-001-004</t>
  </si>
  <si>
    <t>PRIMA DOMINICAL</t>
  </si>
  <si>
    <t>601-001-005</t>
  </si>
  <si>
    <t>BONO DE PUNTUALIDAD</t>
  </si>
  <si>
    <t>601-001-006</t>
  </si>
  <si>
    <t>BONO DE PRODUCTIVIDAD</t>
  </si>
  <si>
    <t>601-001-007</t>
  </si>
  <si>
    <t>GRATIFICACION EXTRAORDINARIA</t>
  </si>
  <si>
    <t>601-001-008</t>
  </si>
  <si>
    <t>AGUINALDO</t>
  </si>
  <si>
    <t>601-001-009</t>
  </si>
  <si>
    <t>VACACIONES</t>
  </si>
  <si>
    <t>601-001-010</t>
  </si>
  <si>
    <t>PRIMA VACACIONAL</t>
  </si>
  <si>
    <t>601-001-011</t>
  </si>
  <si>
    <t>LIQUIDACIONES</t>
  </si>
  <si>
    <t>601-001-012</t>
  </si>
  <si>
    <t>PRIMA DE ANTIGUEDAD</t>
  </si>
  <si>
    <t>601-001-013</t>
  </si>
  <si>
    <t>CAPACITACION Y ADIESTRAMIENTO</t>
  </si>
  <si>
    <t>601-001-014</t>
  </si>
  <si>
    <t>AYUDA POR DEFUNCION</t>
  </si>
  <si>
    <t>601-001-015</t>
  </si>
  <si>
    <t>COMIDA DE FIN DE AÑO</t>
  </si>
  <si>
    <t>601-001-016</t>
  </si>
  <si>
    <t>VALES DE DESPENSA</t>
  </si>
  <si>
    <t>601-002-000</t>
  </si>
  <si>
    <t>CARGA LABORAL</t>
  </si>
  <si>
    <t>601-002-001</t>
  </si>
  <si>
    <t>CUOTA IMSS</t>
  </si>
  <si>
    <t>601-002-002</t>
  </si>
  <si>
    <t>RETIRO, CESANTIA Y VEJEZ</t>
  </si>
  <si>
    <t>601-002-003</t>
  </si>
  <si>
    <t>INFONAVIT</t>
  </si>
  <si>
    <t>601-002-004</t>
  </si>
  <si>
    <t>IMPUESTO SOBRE NOMINA</t>
  </si>
  <si>
    <t>601-003-000</t>
  </si>
  <si>
    <t>UNIFORMES</t>
  </si>
  <si>
    <t>601-003-001</t>
  </si>
  <si>
    <t>UNIFORMES MANTENIMIENTO</t>
  </si>
  <si>
    <t>601-003-002</t>
  </si>
  <si>
    <t>UNIFORMES RECEPCION</t>
  </si>
  <si>
    <t>601-003-003</t>
  </si>
  <si>
    <t>UNIFORMES ADMINISTRACION</t>
  </si>
  <si>
    <t>602-000-000</t>
  </si>
  <si>
    <t>GASTOS ADMINISTRATIVOS</t>
  </si>
  <si>
    <t>602-001-000</t>
  </si>
  <si>
    <t>ASESORIAS</t>
  </si>
  <si>
    <t>602-001-001</t>
  </si>
  <si>
    <t>CONSULTORIA</t>
  </si>
  <si>
    <t>602-001-002</t>
  </si>
  <si>
    <t>ASESORIA ADMINISTRATIVA</t>
  </si>
  <si>
    <t>602-002-000</t>
  </si>
  <si>
    <t>ASESORIA LEGAL</t>
  </si>
  <si>
    <t>602-002-001</t>
  </si>
  <si>
    <t>AS LEG ASAMBLEAS</t>
  </si>
  <si>
    <t>602-002-002</t>
  </si>
  <si>
    <t>AS LEG PROTOCOLIZACION</t>
  </si>
  <si>
    <t>602-002-003</t>
  </si>
  <si>
    <t>AUDITORIA</t>
  </si>
  <si>
    <t>602-002-004</t>
  </si>
  <si>
    <t>HONORARIOS PERSONAS FISICAS</t>
  </si>
  <si>
    <t>602-003-000</t>
  </si>
  <si>
    <t>GASTOS DE OFICINA</t>
  </si>
  <si>
    <t>602-003-001</t>
  </si>
  <si>
    <t>GOF EQ DE OFICINA Y MOBILIARIO</t>
  </si>
  <si>
    <t>602-003-002</t>
  </si>
  <si>
    <t>GOF EQ DE OFICINA MTTO</t>
  </si>
  <si>
    <t>602-003-003</t>
  </si>
  <si>
    <t>GOF RADIOS COMPRA Y MTTO</t>
  </si>
  <si>
    <t>602-003-004</t>
  </si>
  <si>
    <t>GOF PAPELERIA Y ART DE OFICINA</t>
  </si>
  <si>
    <t>602-003-005</t>
  </si>
  <si>
    <t>TRABAJOS DE IMPRENTA Y SEÑALIZACION</t>
  </si>
  <si>
    <t>602-003-006</t>
  </si>
  <si>
    <t>SOFTWARE Y TIMBRES</t>
  </si>
  <si>
    <t>602-003-007</t>
  </si>
  <si>
    <t>CUOTAS Y SUSCRIPCIONES</t>
  </si>
  <si>
    <t>602-003-008</t>
  </si>
  <si>
    <t>PASAJES</t>
  </si>
  <si>
    <t>602-003-009</t>
  </si>
  <si>
    <t>COMBUSTIBLES Y LUBRICANTES</t>
  </si>
  <si>
    <t>602-003-010</t>
  </si>
  <si>
    <t>PROPINA</t>
  </si>
  <si>
    <t>602-003-011</t>
  </si>
  <si>
    <t>AGUA EMBOTELLADA</t>
  </si>
  <si>
    <t>602-003-012</t>
  </si>
  <si>
    <t>BOTIQUIN</t>
  </si>
  <si>
    <t>602-003-013</t>
  </si>
  <si>
    <t>GASTOS POR CONTINGENCIA SANITARIA</t>
  </si>
  <si>
    <t>602-003-014</t>
  </si>
  <si>
    <t>GASTOS JUNTA DE COMITE</t>
  </si>
  <si>
    <t>602-003-015</t>
  </si>
  <si>
    <t>GASTOS DE ASAMBLEA</t>
  </si>
  <si>
    <t>602-003-016</t>
  </si>
  <si>
    <t>CUOTA ASOCIACION COLONOS</t>
  </si>
  <si>
    <t>602-003-017</t>
  </si>
  <si>
    <t>DESPENSA</t>
  </si>
  <si>
    <t>602-004-000</t>
  </si>
  <si>
    <t>AMENIDADES</t>
  </si>
  <si>
    <t>602-004-001</t>
  </si>
  <si>
    <t>SPA SERVICIOS</t>
  </si>
  <si>
    <t>602-004-002</t>
  </si>
  <si>
    <t>SPA INSUMOS</t>
  </si>
  <si>
    <t>602-004-003</t>
  </si>
  <si>
    <t>GIMNASIO SERVICIOS</t>
  </si>
  <si>
    <t>602-004-004</t>
  </si>
  <si>
    <t>GIMNASIO INSUMOS</t>
  </si>
  <si>
    <t>602-004-005</t>
  </si>
  <si>
    <t>602-004-006</t>
  </si>
  <si>
    <t>PALAPA INSUMOS</t>
  </si>
  <si>
    <t>602-004-007</t>
  </si>
  <si>
    <t>LUDOTECA INSUMOS</t>
  </si>
  <si>
    <t>602-004-008</t>
  </si>
  <si>
    <t>ALBERCAS Y SPA TOALLAS</t>
  </si>
  <si>
    <t>602-004-009</t>
  </si>
  <si>
    <t>SAUNA INSUMOS</t>
  </si>
  <si>
    <t>602-004-010</t>
  </si>
  <si>
    <t>XXXXXX</t>
  </si>
  <si>
    <t>602-004-011</t>
  </si>
  <si>
    <t>APP ADMIN</t>
  </si>
  <si>
    <t>602-004-012</t>
  </si>
  <si>
    <t>FESTIVIDADES</t>
  </si>
  <si>
    <t>603-000-000</t>
  </si>
  <si>
    <t>GASTOS DE OPERACION</t>
  </si>
  <si>
    <t>603-001-000</t>
  </si>
  <si>
    <t>SERVICIOS Y CONSUMOS</t>
  </si>
  <si>
    <t>603-001-001</t>
  </si>
  <si>
    <t>SERVICIOS ENERGIA ELECTRICA</t>
  </si>
  <si>
    <t>603-001-002</t>
  </si>
  <si>
    <t>SERVICIO CONSUMO DE AGUA</t>
  </si>
  <si>
    <t>603-001-003</t>
  </si>
  <si>
    <t>SERVICIO PIPAS DE AGUA</t>
  </si>
  <si>
    <t>603-001-004</t>
  </si>
  <si>
    <t>SERVICIO GAS AREAS COMUNES</t>
  </si>
  <si>
    <t>603-001-005</t>
  </si>
  <si>
    <t>SERVICIO TELEFONICO E INTERNET</t>
  </si>
  <si>
    <t>603-001-006</t>
  </si>
  <si>
    <t>SERVICIO DE TV DE PAGA</t>
  </si>
  <si>
    <t>603-001-007</t>
  </si>
  <si>
    <t>SERVICIO INTEGRAL A SISTEMAS</t>
  </si>
  <si>
    <t>603-001-008</t>
  </si>
  <si>
    <t>SERVICIO SEGURIDAD PRIVADA</t>
  </si>
  <si>
    <t>603-001-009</t>
  </si>
  <si>
    <t>SERVICIO DE LIMPIEZA</t>
  </si>
  <si>
    <t>603-001-010</t>
  </si>
  <si>
    <t>SERVICIO DE SANITIZACION</t>
  </si>
  <si>
    <t>603-001-011</t>
  </si>
  <si>
    <t>SERVICIO CONTROL DE PLAGAS</t>
  </si>
  <si>
    <t>603-001-012</t>
  </si>
  <si>
    <t>SERVICIO RECOLECCION DE BASURA</t>
  </si>
  <si>
    <t>603-001-013</t>
  </si>
  <si>
    <t>SERVICIO RETIRO DE ESCOMBRO</t>
  </si>
  <si>
    <t>603-001-014</t>
  </si>
  <si>
    <t>SERVICIO VALET PARKING</t>
  </si>
  <si>
    <t>603-001-015</t>
  </si>
  <si>
    <t>SERVICIO LAVADO DE AUTOS</t>
  </si>
  <si>
    <t>603-001-016</t>
  </si>
  <si>
    <t>SERVICIO LAVANDERIA Y TINTORERIA</t>
  </si>
  <si>
    <t>603-001-017</t>
  </si>
  <si>
    <t>ARREGLOS FLORALES</t>
  </si>
  <si>
    <t>603-001-018</t>
  </si>
  <si>
    <t>SERVICIO DE APP OPERATIVA</t>
  </si>
  <si>
    <t>603-001-019</t>
  </si>
  <si>
    <t>CUENTA PREDIAL</t>
  </si>
  <si>
    <t>603-002-000</t>
  </si>
  <si>
    <t>603-002-001</t>
  </si>
  <si>
    <t>GYM SERVICIOS</t>
  </si>
  <si>
    <t>603-002-002</t>
  </si>
  <si>
    <t>GYM INSUMOS</t>
  </si>
  <si>
    <t>603-002-003</t>
  </si>
  <si>
    <t>603-002-004</t>
  </si>
  <si>
    <t>CSA CLUB / GYM INSUMOS</t>
  </si>
  <si>
    <t>603-002-005</t>
  </si>
  <si>
    <t>603-002-006</t>
  </si>
  <si>
    <t>ALVERCAS Y SPA TOALLAS</t>
  </si>
  <si>
    <t>603-002-007</t>
  </si>
  <si>
    <t>CLASES NATACION</t>
  </si>
  <si>
    <t>603-002-008</t>
  </si>
  <si>
    <t>CLASES YOGA</t>
  </si>
  <si>
    <t>603-002-009</t>
  </si>
  <si>
    <t>CLASES TENIS</t>
  </si>
  <si>
    <t>603-002-010</t>
  </si>
  <si>
    <t>CLASES SPINNING</t>
  </si>
  <si>
    <t>603-002-011</t>
  </si>
  <si>
    <t>CLASES PILATES</t>
  </si>
  <si>
    <t>603-003-000</t>
  </si>
  <si>
    <t xml:space="preserve">SEGUROS </t>
  </si>
  <si>
    <t>603-003-001</t>
  </si>
  <si>
    <t xml:space="preserve">POLIZA INMUEBLE </t>
  </si>
  <si>
    <t>603-003-002</t>
  </si>
  <si>
    <t>POLIZA SERVICIO MEDICO</t>
  </si>
  <si>
    <t>603-003-003</t>
  </si>
  <si>
    <t>DEDUCIBLES</t>
  </si>
  <si>
    <t>603-004-000</t>
  </si>
  <si>
    <t>RENTA DE EQUIPOS</t>
  </si>
  <si>
    <t>603-004-001</t>
  </si>
  <si>
    <t>GYM</t>
  </si>
  <si>
    <t>603-004-002</t>
  </si>
  <si>
    <t>DISPENSADORES DE AGUA</t>
  </si>
  <si>
    <t>603-004-003</t>
  </si>
  <si>
    <t>DIFUSORES DE AROMA</t>
  </si>
  <si>
    <t>604-000-000</t>
  </si>
  <si>
    <t>MANTENIMIENTOS</t>
  </si>
  <si>
    <t>604-001-000</t>
  </si>
  <si>
    <t>ELEVADORES</t>
  </si>
  <si>
    <t>604-001-001</t>
  </si>
  <si>
    <t>ELEVADORES MTTO POLIZA</t>
  </si>
  <si>
    <t>604-001-002</t>
  </si>
  <si>
    <t>ELEVADORES REFACCIONES</t>
  </si>
  <si>
    <t>604-001-003</t>
  </si>
  <si>
    <t>ELEVADORES MEJORAS</t>
  </si>
  <si>
    <t>604-002-000</t>
  </si>
  <si>
    <t>SISTEMAS DE SEGURIDAD</t>
  </si>
  <si>
    <t>604-002-001</t>
  </si>
  <si>
    <t>SS ACCESO QR RENTA</t>
  </si>
  <si>
    <t>604-002-002</t>
  </si>
  <si>
    <t>SS CONTROL DE ACCESO SOPORTE</t>
  </si>
  <si>
    <t>604-002-003</t>
  </si>
  <si>
    <t>SS BARRAS DE ACCESO MTTO</t>
  </si>
  <si>
    <t>604-002-004</t>
  </si>
  <si>
    <t>SS TAG DE ACCESO</t>
  </si>
  <si>
    <t>604-002-005</t>
  </si>
  <si>
    <t>SS PUERTA DE ACCESO MTTO</t>
  </si>
  <si>
    <t>604-002-006</t>
  </si>
  <si>
    <t>SS PUERTA DE ACCESO REFACCIONES</t>
  </si>
  <si>
    <t>604-002-007</t>
  </si>
  <si>
    <t>SS CIRCUITO CERRADO SOPORTE</t>
  </si>
  <si>
    <t>604-002-008</t>
  </si>
  <si>
    <t>SS CIRCUITO CERRADO REFACCIONES</t>
  </si>
  <si>
    <t>604-002-009</t>
  </si>
  <si>
    <t>SS CERCA ELECTRICA REFACCIONES</t>
  </si>
  <si>
    <t>604-002-010</t>
  </si>
  <si>
    <t>SS RADARES DE VELOCIDAD</t>
  </si>
  <si>
    <t>604-002-011</t>
  </si>
  <si>
    <t>SS CONMUTADORES MTTO</t>
  </si>
  <si>
    <t>604-002-012</t>
  </si>
  <si>
    <t>SS CONMUTADORES REFACCIONES</t>
  </si>
  <si>
    <t>604-002-013</t>
  </si>
  <si>
    <t>SS INTERFONES</t>
  </si>
  <si>
    <t>604-003-000</t>
  </si>
  <si>
    <t>PLANTA DE EMERGENCIA</t>
  </si>
  <si>
    <t>604-003-001</t>
  </si>
  <si>
    <t>PLANTA DE EMERGENCIA MTTO</t>
  </si>
  <si>
    <t>604-003-002</t>
  </si>
  <si>
    <t>PLANTA DE EMERGENCIA REFACCIONES</t>
  </si>
  <si>
    <t>604-003-003</t>
  </si>
  <si>
    <t>PLANTA DE EMERGENCIA COMBUSTIBLE</t>
  </si>
  <si>
    <t>604-004-000</t>
  </si>
  <si>
    <t>INSTALACIONES HIDROSANITARIAS</t>
  </si>
  <si>
    <t>604-004-001</t>
  </si>
  <si>
    <t>IH CISTERNA Y TINACOS LAVADO</t>
  </si>
  <si>
    <t>604-004-002</t>
  </si>
  <si>
    <t>IH PLANTA DE TRATAMIENTO O CARCAMO MTTO</t>
  </si>
  <si>
    <t>604-004-003</t>
  </si>
  <si>
    <t>IH PLANTA DE TRATAMIENTO REFACCIONES</t>
  </si>
  <si>
    <t>604-004-004</t>
  </si>
  <si>
    <t>IH DESAZOLVES MTTO</t>
  </si>
  <si>
    <t>604-005-000</t>
  </si>
  <si>
    <t>ALBERCAS, JACUZZYS, FUENTES Y OTROS</t>
  </si>
  <si>
    <t>604-005-001</t>
  </si>
  <si>
    <t>ALBERCAS POLIZA MTTO</t>
  </si>
  <si>
    <t>604-005-002</t>
  </si>
  <si>
    <t>ALBERCAS REFACCIONES</t>
  </si>
  <si>
    <t>604-005-003</t>
  </si>
  <si>
    <t>ALBERCAS PRODUCTOS QUIMICOS</t>
  </si>
  <si>
    <t>604-005-004</t>
  </si>
  <si>
    <t>JACUZZY REFACCIONES</t>
  </si>
  <si>
    <t>604-005-005</t>
  </si>
  <si>
    <t>FUENTES</t>
  </si>
  <si>
    <t>604-005-006</t>
  </si>
  <si>
    <t>LAGOS</t>
  </si>
  <si>
    <t>604-005-007</t>
  </si>
  <si>
    <t>EQ VAPOR MTTO</t>
  </si>
  <si>
    <t>604-006-000</t>
  </si>
  <si>
    <t>JARDINERIA</t>
  </si>
  <si>
    <t>604-006-001</t>
  </si>
  <si>
    <t>JARDINERIA POLIZA MTTO</t>
  </si>
  <si>
    <t>604-006-002</t>
  </si>
  <si>
    <t>JARDINERIA CONTROL DE PLAGAS</t>
  </si>
  <si>
    <t>604-006-003</t>
  </si>
  <si>
    <t>JARDINERIA PLANTAS, FERTILIZANTE, TIERRA</t>
  </si>
  <si>
    <t>604-006-004</t>
  </si>
  <si>
    <t>JARDINERIA HERRAMIENTAS</t>
  </si>
  <si>
    <t>604-006-005</t>
  </si>
  <si>
    <t>JARDINERIA SISTEMA DE RIEGO</t>
  </si>
  <si>
    <t>604-007-000</t>
  </si>
  <si>
    <t>EDIFICIO</t>
  </si>
  <si>
    <t>604-007-001</t>
  </si>
  <si>
    <t>EDIFICIO LIMPIEZA DE CRISTALES</t>
  </si>
  <si>
    <t>604-007-002</t>
  </si>
  <si>
    <t>EDIFICIO SELLADO DE CRISTALES</t>
  </si>
  <si>
    <t>604-007-003</t>
  </si>
  <si>
    <t>EDIFICIO LAVADO DE FACHADA</t>
  </si>
  <si>
    <t>604-007-004</t>
  </si>
  <si>
    <t>EDIFICIO IMPERMEABILIZACION MAYOR</t>
  </si>
  <si>
    <t>604-007-005</t>
  </si>
  <si>
    <t>EDIFICIO MANTTO</t>
  </si>
  <si>
    <t>604-008-000</t>
  </si>
  <si>
    <t>BOMBAS</t>
  </si>
  <si>
    <t>604-008-001</t>
  </si>
  <si>
    <t>BOMBAS POLIZA DE MTTO</t>
  </si>
  <si>
    <t>604-008-002</t>
  </si>
  <si>
    <t>BOMBAS REFACCIONES</t>
  </si>
  <si>
    <t>604-009-000</t>
  </si>
  <si>
    <t>SISTEMA CONTRA INCENDIO</t>
  </si>
  <si>
    <t>604-009-001</t>
  </si>
  <si>
    <t>SCI MTTO</t>
  </si>
  <si>
    <t>604-009-002</t>
  </si>
  <si>
    <t>SCI RECARGAS EXTINTORES</t>
  </si>
  <si>
    <t>604-009-003</t>
  </si>
  <si>
    <t>SCI REFACCIONES</t>
  </si>
  <si>
    <t>604-009-004</t>
  </si>
  <si>
    <t>SCI ESTACIONES Y DETECTORES DE HUMO</t>
  </si>
  <si>
    <t>604-010-000</t>
  </si>
  <si>
    <t>SISTEMAS AIRE ACONDICIONADO Y REFRIGERAC</t>
  </si>
  <si>
    <t>604-010-001</t>
  </si>
  <si>
    <t>AIRE ACONDICIONADO MTTO</t>
  </si>
  <si>
    <t>604-010-002</t>
  </si>
  <si>
    <t>AIRE ACONDICIONADO REFACCIONES</t>
  </si>
  <si>
    <t>604-010-003</t>
  </si>
  <si>
    <t>SISTEMA DE REFRIGERACION MTTO</t>
  </si>
  <si>
    <t>604-010-004</t>
  </si>
  <si>
    <t>SISTEMA DE REFRIGERACION REFACCIONES</t>
  </si>
  <si>
    <t>604-010-005</t>
  </si>
  <si>
    <t>SISTEMA DE EXTRACCION DE AIRE MTTO</t>
  </si>
  <si>
    <t>604-010-006</t>
  </si>
  <si>
    <t>SISTEMA DE EXTRACCION DE AIRE REFACCIONE</t>
  </si>
  <si>
    <t>604-011-000</t>
  </si>
  <si>
    <t>GIMNASIO</t>
  </si>
  <si>
    <t>604-011-001</t>
  </si>
  <si>
    <t>GIMNASIO POLIZA MTTO</t>
  </si>
  <si>
    <t>604-011-002</t>
  </si>
  <si>
    <t>GIMNASIO REFACCIONES</t>
  </si>
  <si>
    <t>604-011-003</t>
  </si>
  <si>
    <t>GIMNASIO MEJORAS</t>
  </si>
  <si>
    <t>604-012-000</t>
  </si>
  <si>
    <t>VEHICULOS</t>
  </si>
  <si>
    <t>604-012-001</t>
  </si>
  <si>
    <t>VEHICULOS AUTOS MTTO</t>
  </si>
  <si>
    <t>604-012-002</t>
  </si>
  <si>
    <t>VEHICULOS AUTOS REFACCIONES</t>
  </si>
  <si>
    <t>604-012-003</t>
  </si>
  <si>
    <t>VEHICULOS CARRITOS DE GOLF MTTO</t>
  </si>
  <si>
    <t>604-012-004</t>
  </si>
  <si>
    <t>VEHICULOS CARRITOS DE GOLF REFACCIONES</t>
  </si>
  <si>
    <t>604-012-005</t>
  </si>
  <si>
    <t>VEHICULOS MOTOCICLETA MTTO</t>
  </si>
  <si>
    <t>604-012-006</t>
  </si>
  <si>
    <t>VEHICULOS MOTOCICLETA REFACCIONES</t>
  </si>
  <si>
    <t>604-012-007</t>
  </si>
  <si>
    <t>VEHICULOS PATIN MTTO</t>
  </si>
  <si>
    <t>604-012-008</t>
  </si>
  <si>
    <t>VEHICULOS PATIN REFACCIONES</t>
  </si>
  <si>
    <t>604-012-009</t>
  </si>
  <si>
    <t>VEHICULOS COMBUSTIBLES</t>
  </si>
  <si>
    <t>604-012-010</t>
  </si>
  <si>
    <t>VEHICULOS TENENCIAS</t>
  </si>
  <si>
    <t>604-013-000</t>
  </si>
  <si>
    <t>PROTECCION CIVIL</t>
  </si>
  <si>
    <t>604-013-001</t>
  </si>
  <si>
    <t>PROGRAMA DE PROTECCION CIVIL</t>
  </si>
  <si>
    <t>604-013-002</t>
  </si>
  <si>
    <t>PC CAPACITACION Y ADIESTRAMIENTO</t>
  </si>
  <si>
    <t>604-013-003</t>
  </si>
  <si>
    <t>PC SEÑALIZACION</t>
  </si>
  <si>
    <t>604-013-004</t>
  </si>
  <si>
    <t>PC REVISION ESTRUCTURAL</t>
  </si>
  <si>
    <t>604-014-000</t>
  </si>
  <si>
    <t>LUDOTECA</t>
  </si>
  <si>
    <t>604-014-001</t>
  </si>
  <si>
    <t>LUDOTECA POLIZA MTTO</t>
  </si>
  <si>
    <t>604-014-002</t>
  </si>
  <si>
    <t>LUDOTECA ACCESORIOS</t>
  </si>
  <si>
    <t>604-014-003</t>
  </si>
  <si>
    <t>LUDOTECA REFACCIONES</t>
  </si>
  <si>
    <t>604-014-004</t>
  </si>
  <si>
    <t>LUDOTECA UNIFORMES</t>
  </si>
  <si>
    <t>604-015-000</t>
  </si>
  <si>
    <t>TALUD</t>
  </si>
  <si>
    <t>604-015-001</t>
  </si>
  <si>
    <t>TALUD MTTO DE ANCLAS</t>
  </si>
  <si>
    <t>604-015-002</t>
  </si>
  <si>
    <t>TALUD MTTO A MALLA</t>
  </si>
  <si>
    <t>604-016-000</t>
  </si>
  <si>
    <t>OTROS MANTENIMIENTOS</t>
  </si>
  <si>
    <t>604-016-001</t>
  </si>
  <si>
    <t>SUBESTACION ELECTRICA MTTO</t>
  </si>
  <si>
    <t>604-016-002</t>
  </si>
  <si>
    <t>POZO DE AGUA MTTO</t>
  </si>
  <si>
    <t>604-016-003</t>
  </si>
  <si>
    <t>CONTENEDORES DE BASURA</t>
  </si>
  <si>
    <t>604-016-004</t>
  </si>
  <si>
    <t>AREA DE MASCOTAS</t>
  </si>
  <si>
    <t>604-016-005</t>
  </si>
  <si>
    <t>VIALIDADES</t>
  </si>
  <si>
    <t>604-016-006</t>
  </si>
  <si>
    <t>ESTACIONAMIENTOS</t>
  </si>
  <si>
    <t>604-016-007</t>
  </si>
  <si>
    <t>CANCHAS DEPORTIVAS</t>
  </si>
  <si>
    <t>604-016-008</t>
  </si>
  <si>
    <t>AREAS DE JUEGO</t>
  </si>
  <si>
    <t>604-016-009</t>
  </si>
  <si>
    <t>PANEL SOLAR MTTO</t>
  </si>
  <si>
    <t>604-016-010</t>
  </si>
  <si>
    <t>EQUIPO PURIFICADOR DE AGUA</t>
  </si>
  <si>
    <t>604-016-011</t>
  </si>
  <si>
    <t>AREAS COMUNES MTTO</t>
  </si>
  <si>
    <t>604-017-000</t>
  </si>
  <si>
    <t>INSUMOS</t>
  </si>
  <si>
    <t>604-017-001</t>
  </si>
  <si>
    <t>MATERIAL ALBAÑILERIA Y TABLAROCA</t>
  </si>
  <si>
    <t>604-017-002</t>
  </si>
  <si>
    <t>MATERIAL DE PLOMERIA Y FERRETERIA</t>
  </si>
  <si>
    <t>604-017-003</t>
  </si>
  <si>
    <t>MATERIAL DE CARPINTERIA</t>
  </si>
  <si>
    <t>604-017-004</t>
  </si>
  <si>
    <t>MATERIAL ELECTRICO</t>
  </si>
  <si>
    <t>604-017-005</t>
  </si>
  <si>
    <t>MATERIAL DE PINTURA</t>
  </si>
  <si>
    <t>604-017-006</t>
  </si>
  <si>
    <t>MATERIAL DE LIMPIEZA Y SANITIZACION</t>
  </si>
  <si>
    <t>604-017-007</t>
  </si>
  <si>
    <t>MATERIAL PARA ASADORES</t>
  </si>
  <si>
    <t>604-017-008</t>
  </si>
  <si>
    <t>MATERIAL DIVERSO Y REFACCIONES</t>
  </si>
  <si>
    <t>604-017-009</t>
  </si>
  <si>
    <t>EQUIPO Y HERRAMIENTA</t>
  </si>
  <si>
    <t>604-017-010</t>
  </si>
  <si>
    <t>CRISTALES Y ESPEJOS</t>
  </si>
  <si>
    <t>604-017-011</t>
  </si>
  <si>
    <t>604-018-000</t>
  </si>
  <si>
    <t>NO DEDUCIBLES</t>
  </si>
  <si>
    <t>604-018-001</t>
  </si>
  <si>
    <t>605-000-000</t>
  </si>
  <si>
    <t>EXTRAORDINARIOS</t>
  </si>
  <si>
    <t>605-001-000</t>
  </si>
  <si>
    <t>EXTRAORDINARIOS MTTO</t>
  </si>
  <si>
    <t>605-002-000</t>
  </si>
  <si>
    <t>EXTRAORDINARIOS COMPRAS</t>
  </si>
  <si>
    <t>606-000-000</t>
  </si>
  <si>
    <t>MEJORAS Y PROYECTOS</t>
  </si>
  <si>
    <t>606-001-000</t>
  </si>
  <si>
    <t>PROYECTOS DE MEJORAS</t>
  </si>
  <si>
    <t>606-001-001</t>
  </si>
  <si>
    <t>PY MOBILIARIO PILATES</t>
  </si>
  <si>
    <t>606-001-002</t>
  </si>
  <si>
    <t>PY SNACK BAR</t>
  </si>
  <si>
    <t>606-001-003</t>
  </si>
  <si>
    <t xml:space="preserve">PY SALON DE EVENTOS </t>
  </si>
  <si>
    <t>606-001-004</t>
  </si>
  <si>
    <t>PY ACCESO PRE-LOBBIES</t>
  </si>
  <si>
    <t>606-001-005</t>
  </si>
  <si>
    <t>PY LICENCIAS Y ACCESOS</t>
  </si>
  <si>
    <t>606-001-006</t>
  </si>
  <si>
    <t>PY ELEVADOR SALON DE EVENTOS</t>
  </si>
  <si>
    <t>606-001-007</t>
  </si>
  <si>
    <t>PY FACHADA Y CONTROL DE ACCESO</t>
  </si>
  <si>
    <t>606-001-008</t>
  </si>
  <si>
    <t>PY ASADORES, BAÑOS Y JUEGOS</t>
  </si>
  <si>
    <t>606-001-009</t>
  </si>
  <si>
    <t>PY ELEVADOR, ESTRUCTURA Y RECUBRIMIENTO</t>
  </si>
  <si>
    <t>606-001-010</t>
  </si>
  <si>
    <t>PY PLANTA PAISAJISMO</t>
  </si>
  <si>
    <t>607-000-000</t>
  </si>
  <si>
    <t>GASTOS EN EVENTOS</t>
  </si>
  <si>
    <t>607-001-000</t>
  </si>
  <si>
    <t>EVENTOS DE SEGURIDAD</t>
  </si>
  <si>
    <t>607-002-000</t>
  </si>
  <si>
    <t>EVENTOS LIMPIEZA</t>
  </si>
  <si>
    <t>607-003-000</t>
  </si>
  <si>
    <t>EVENTOS RAPARACIONES</t>
  </si>
  <si>
    <t>607-004-000</t>
  </si>
  <si>
    <t>EVENTOS VALET PARKING</t>
  </si>
  <si>
    <t>607-005-000</t>
  </si>
  <si>
    <t>EVENTOS DIVERSOS</t>
  </si>
  <si>
    <t>608-000-000</t>
  </si>
  <si>
    <t>OTROS IMPUESTOS Y DERECHOS</t>
  </si>
  <si>
    <t>608-001-000</t>
  </si>
  <si>
    <t>ISR</t>
  </si>
  <si>
    <t>608-002-000</t>
  </si>
  <si>
    <t>MULTAS Y RECARGOS</t>
  </si>
  <si>
    <t>609-000-000</t>
  </si>
  <si>
    <t>GASTOS FINANCIEROS</t>
  </si>
  <si>
    <t>609-001-000</t>
  </si>
  <si>
    <t>COMISIONES BANCARIAS</t>
  </si>
  <si>
    <t>609-002-000</t>
  </si>
  <si>
    <t>PERDIDA CAMBIARIA</t>
  </si>
  <si>
    <t>701-000-000</t>
  </si>
  <si>
    <t>701-001-000</t>
  </si>
  <si>
    <t>702-000-000</t>
  </si>
  <si>
    <t>PRODUCTOS FINANCIEROS</t>
  </si>
  <si>
    <t xml:space="preserve">COI CONTABLE </t>
  </si>
  <si>
    <t xml:space="preserve">BANCOS SALDO INICIAL </t>
  </si>
  <si>
    <t>COI COBRANZA</t>
  </si>
  <si>
    <t xml:space="preserve">SUMA 104-003 - SALDO TOTAL BANCOS </t>
  </si>
  <si>
    <t>SALDO INICIAL INVERSIONES</t>
  </si>
  <si>
    <t xml:space="preserve">INVERSION SALDO INICIAL </t>
  </si>
  <si>
    <t>(403-001-000)</t>
  </si>
  <si>
    <t>INVERSIONES (DEBE)</t>
  </si>
  <si>
    <t>INVERSIONES (HABER)</t>
  </si>
  <si>
    <t>osea u16-v16</t>
  </si>
  <si>
    <t>INGRESO</t>
  </si>
  <si>
    <t>DEBE</t>
  </si>
  <si>
    <t>HABER</t>
  </si>
  <si>
    <t>CUOTAS COBRADAS MANTOO</t>
  </si>
  <si>
    <t>CUOTAS COBRADAS EXTRA</t>
  </si>
  <si>
    <t>SUMA 104-003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</si>
</sst>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engXian"/>
    </font>
    <font>
      <sz val="11"/>
      <name val="DengXian"/>
    </font>
    <font>
      <sz val="14"/>
      <name val="Franklin Gothic Medium Cond"/>
      <family val="2"/>
    </font>
    <font>
      <sz val="14"/>
      <color theme="1"/>
      <name val="DengXian"/>
    </font>
    <font>
      <b/>
      <sz val="11"/>
      <color theme="0"/>
      <name val="DengXian"/>
    </font>
    <font>
      <b/>
      <sz val="12"/>
      <color theme="0"/>
      <name val="DengXian"/>
    </font>
    <font>
      <b/>
      <sz val="11"/>
      <color theme="1"/>
      <name val="DengXian"/>
    </font>
    <font>
      <b/>
      <sz val="9"/>
      <color theme="3" tint="0.249977111117893"/>
      <name val="DengXian"/>
    </font>
    <font>
      <b/>
      <sz val="14"/>
      <name val="DengXian"/>
    </font>
    <font>
      <sz val="12"/>
      <name val="DengXian"/>
    </font>
    <font>
      <b/>
      <sz val="11"/>
      <name val="DengXian"/>
    </font>
    <font>
      <sz val="12"/>
      <color theme="1"/>
      <name val="DengXian"/>
    </font>
    <font>
      <b/>
      <sz val="9"/>
      <color rgb="FF00B050"/>
      <name val="DengXian"/>
    </font>
    <font>
      <b/>
      <sz val="12"/>
      <color rgb="FF00B050"/>
      <name val="DengXian"/>
    </font>
    <font>
      <b/>
      <sz val="12"/>
      <color theme="1"/>
      <name val="DengXian"/>
    </font>
    <font>
      <b/>
      <sz val="12"/>
      <name val="DengXian"/>
    </font>
    <font>
      <b/>
      <sz val="18"/>
      <name val="CordiaUPC"/>
      <family val="2"/>
      <charset val="222"/>
    </font>
    <font>
      <b/>
      <sz val="12"/>
      <color theme="1"/>
      <name val="Aptos Light"/>
      <family val="2"/>
    </font>
    <font>
      <b/>
      <sz val="11.5"/>
      <name val="Aptos Light"/>
      <family val="2"/>
    </font>
    <font>
      <sz val="11"/>
      <color rgb="FFFF0000"/>
      <name val="DengXian"/>
      <charset val="134"/>
    </font>
    <font>
      <sz val="11"/>
      <color theme="1"/>
      <name val="DengXian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45">
        <stop position="0">
          <color rgb="FF0070C0"/>
        </stop>
        <stop position="1">
          <color rgb="FF002060"/>
        </stop>
      </gradientFill>
    </fill>
    <fill>
      <patternFill patternType="solid">
        <fgColor theme="0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164" fontId="3" fillId="2" borderId="0" xfId="1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164" fontId="6" fillId="3" borderId="1" xfId="1" applyNumberFormat="1" applyFont="1" applyFill="1" applyBorder="1" applyAlignment="1" applyProtection="1">
      <alignment horizontal="center" vertical="center"/>
      <protection hidden="1"/>
    </xf>
    <xf numFmtId="164" fontId="6" fillId="3" borderId="3" xfId="1" applyNumberFormat="1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10" fillId="2" borderId="3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left" vertical="center"/>
      <protection hidden="1"/>
    </xf>
    <xf numFmtId="164" fontId="3" fillId="2" borderId="6" xfId="1" applyNumberFormat="1" applyFont="1" applyFill="1" applyBorder="1" applyAlignment="1" applyProtection="1">
      <alignment horizontal="center" vertical="center"/>
      <protection hidden="1"/>
    </xf>
    <xf numFmtId="0" fontId="10" fillId="2" borderId="6" xfId="0" applyFont="1" applyFill="1" applyBorder="1" applyAlignment="1" applyProtection="1">
      <alignment horizontal="center" vertical="center"/>
      <protection hidden="1"/>
    </xf>
    <xf numFmtId="0" fontId="2" fillId="2" borderId="7" xfId="0" applyFont="1" applyFill="1" applyBorder="1" applyAlignment="1" applyProtection="1">
      <alignment horizontal="left" vertical="center"/>
      <protection hidden="1"/>
    </xf>
    <xf numFmtId="164" fontId="3" fillId="2" borderId="8" xfId="1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12" fillId="2" borderId="6" xfId="0" applyFont="1" applyFill="1" applyBorder="1" applyAlignment="1" applyProtection="1">
      <alignment horizontal="center" vertical="center"/>
      <protection hidden="1"/>
    </xf>
    <xf numFmtId="0" fontId="8" fillId="2" borderId="7" xfId="0" applyFont="1" applyFill="1" applyBorder="1" applyAlignment="1" applyProtection="1">
      <alignment horizontal="left" vertical="center"/>
      <protection hidden="1"/>
    </xf>
    <xf numFmtId="164" fontId="12" fillId="2" borderId="6" xfId="1" applyNumberFormat="1" applyFont="1" applyFill="1" applyBorder="1" applyAlignment="1" applyProtection="1">
      <alignment horizontal="center" vertical="center"/>
      <protection hidden="1"/>
    </xf>
    <xf numFmtId="0" fontId="3" fillId="2" borderId="6" xfId="0" applyFont="1" applyFill="1" applyBorder="1" applyAlignment="1" applyProtection="1">
      <alignment horizontal="center" vertical="center"/>
      <protection hidden="1"/>
    </xf>
    <xf numFmtId="0" fontId="13" fillId="2" borderId="7" xfId="0" applyFont="1" applyFill="1" applyBorder="1" applyAlignment="1" applyProtection="1">
      <alignment horizontal="left" vertical="center"/>
      <protection hidden="1"/>
    </xf>
    <xf numFmtId="0" fontId="12" fillId="2" borderId="9" xfId="0" applyFont="1" applyFill="1" applyBorder="1" applyAlignment="1" applyProtection="1">
      <alignment horizontal="center" vertical="center"/>
      <protection hidden="1"/>
    </xf>
    <xf numFmtId="0" fontId="8" fillId="2" borderId="10" xfId="0" applyFont="1" applyFill="1" applyBorder="1" applyAlignment="1" applyProtection="1">
      <alignment horizontal="left" vertical="center"/>
      <protection hidden="1"/>
    </xf>
    <xf numFmtId="164" fontId="12" fillId="5" borderId="9" xfId="1" applyNumberFormat="1" applyFont="1" applyFill="1" applyBorder="1" applyAlignment="1" applyProtection="1">
      <alignment horizontal="center" vertical="center"/>
      <protection hidden="1"/>
    </xf>
    <xf numFmtId="0" fontId="15" fillId="2" borderId="3" xfId="0" applyFont="1" applyFill="1" applyBorder="1" applyAlignment="1" applyProtection="1">
      <alignment horizontal="left" vertical="center"/>
      <protection hidden="1"/>
    </xf>
    <xf numFmtId="164" fontId="3" fillId="2" borderId="3" xfId="1" applyNumberFormat="1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left" vertical="center"/>
      <protection hidden="1"/>
    </xf>
    <xf numFmtId="0" fontId="16" fillId="2" borderId="6" xfId="0" applyFont="1" applyFill="1" applyBorder="1" applyAlignment="1" applyProtection="1">
      <alignment horizontal="left" vertical="center"/>
      <protection hidden="1"/>
    </xf>
    <xf numFmtId="0" fontId="8" fillId="2" borderId="6" xfId="0" applyFont="1" applyFill="1" applyBorder="1" applyAlignment="1" applyProtection="1">
      <alignment horizontal="left" vertical="center"/>
      <protection hidden="1"/>
    </xf>
    <xf numFmtId="164" fontId="12" fillId="6" borderId="6" xfId="1" applyNumberFormat="1" applyFont="1" applyFill="1" applyBorder="1" applyAlignment="1" applyProtection="1">
      <alignment horizontal="center" vertical="center"/>
      <protection hidden="1"/>
    </xf>
    <xf numFmtId="0" fontId="15" fillId="2" borderId="6" xfId="0" applyFont="1" applyFill="1" applyBorder="1" applyAlignment="1" applyProtection="1">
      <alignment horizontal="left" vertical="center"/>
      <protection hidden="1"/>
    </xf>
    <xf numFmtId="0" fontId="2" fillId="2" borderId="6" xfId="0" applyFont="1" applyFill="1" applyBorder="1" applyAlignment="1" applyProtection="1">
      <alignment horizontal="left" vertical="center"/>
      <protection hidden="1"/>
    </xf>
    <xf numFmtId="164" fontId="12" fillId="2" borderId="3" xfId="1" applyNumberFormat="1" applyFont="1" applyFill="1" applyBorder="1" applyAlignment="1" applyProtection="1">
      <alignment horizontal="center" vertical="center"/>
      <protection hidden="1"/>
    </xf>
    <xf numFmtId="0" fontId="11" fillId="2" borderId="9" xfId="0" applyFont="1" applyFill="1" applyBorder="1" applyAlignment="1" applyProtection="1">
      <alignment horizontal="center" vertical="center"/>
      <protection hidden="1"/>
    </xf>
    <xf numFmtId="0" fontId="16" fillId="2" borderId="9" xfId="0" applyFont="1" applyFill="1" applyBorder="1" applyAlignment="1" applyProtection="1">
      <alignment horizontal="left" vertical="center"/>
      <protection hidden="1"/>
    </xf>
    <xf numFmtId="164" fontId="17" fillId="5" borderId="9" xfId="1" applyNumberFormat="1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center" vertical="center"/>
      <protection hidden="1"/>
    </xf>
    <xf numFmtId="49" fontId="18" fillId="4" borderId="0" xfId="1" applyNumberFormat="1" applyFont="1" applyFill="1" applyBorder="1" applyAlignment="1" applyProtection="1">
      <alignment horizontal="left"/>
      <protection hidden="1"/>
    </xf>
    <xf numFmtId="0" fontId="19" fillId="2" borderId="0" xfId="0" applyFont="1" applyFill="1" applyAlignment="1" applyProtection="1">
      <alignment horizontal="center" vertical="center"/>
      <protection hidden="1"/>
    </xf>
    <xf numFmtId="49" fontId="20" fillId="4" borderId="0" xfId="1" applyNumberFormat="1" applyFont="1" applyFill="1" applyBorder="1" applyAlignment="1" applyProtection="1">
      <alignment horizontal="left"/>
      <protection hidden="1"/>
    </xf>
    <xf numFmtId="164" fontId="20" fillId="2" borderId="11" xfId="1" applyNumberFormat="1" applyFont="1" applyFill="1" applyBorder="1" applyAlignment="1" applyProtection="1">
      <alignment horizontal="center" vertical="center"/>
      <protection hidden="1"/>
    </xf>
    <xf numFmtId="43" fontId="3" fillId="2" borderId="6" xfId="1" applyFont="1" applyFill="1" applyBorder="1" applyAlignment="1" applyProtection="1">
      <alignment horizontal="center" vertical="center"/>
      <protection hidden="1"/>
    </xf>
    <xf numFmtId="4" fontId="0" fillId="0" borderId="0" xfId="0" applyNumberFormat="1"/>
    <xf numFmtId="0" fontId="21" fillId="2" borderId="0" xfId="0" applyFont="1" applyFill="1" applyAlignment="1" applyProtection="1">
      <alignment horizontal="center" vertical="center"/>
      <protection hidden="1"/>
    </xf>
    <xf numFmtId="0" fontId="22" fillId="2" borderId="0" xfId="0" applyFont="1" applyFill="1" applyAlignment="1" applyProtection="1">
      <alignment horizontal="center" vertical="center"/>
      <protection hidden="1"/>
    </xf>
    <xf numFmtId="0" fontId="14" fillId="2" borderId="3" xfId="0" applyFont="1" applyFill="1" applyBorder="1" applyAlignment="1" applyProtection="1">
      <alignment horizontal="center" vertical="center" textRotation="255" wrapText="1"/>
      <protection hidden="1"/>
    </xf>
    <xf numFmtId="0" fontId="14" fillId="2" borderId="6" xfId="0" applyFont="1" applyFill="1" applyBorder="1" applyAlignment="1" applyProtection="1">
      <alignment horizontal="center" vertical="center" textRotation="255" wrapText="1"/>
      <protection hidden="1"/>
    </xf>
    <xf numFmtId="0" fontId="14" fillId="2" borderId="9" xfId="0" applyFont="1" applyFill="1" applyBorder="1" applyAlignment="1" applyProtection="1">
      <alignment horizontal="center" vertical="center" textRotation="255" wrapText="1"/>
      <protection hidden="1"/>
    </xf>
    <xf numFmtId="0" fontId="12" fillId="2" borderId="3" xfId="0" applyFont="1" applyFill="1" applyBorder="1" applyAlignment="1" applyProtection="1">
      <alignment horizontal="center" vertical="center"/>
      <protection hidden="1"/>
    </xf>
    <xf numFmtId="0" fontId="12" fillId="2" borderId="6" xfId="0" applyFont="1" applyFill="1" applyBorder="1" applyAlignment="1" applyProtection="1">
      <alignment horizontal="center" vertical="center"/>
      <protection hidden="1"/>
    </xf>
    <xf numFmtId="0" fontId="12" fillId="2" borderId="9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49" fontId="7" fillId="3" borderId="2" xfId="1" applyNumberFormat="1" applyFont="1" applyFill="1" applyBorder="1" applyAlignment="1" applyProtection="1">
      <alignment horizontal="center" vertical="center"/>
      <protection hidden="1"/>
    </xf>
    <xf numFmtId="0" fontId="9" fillId="2" borderId="4" xfId="0" applyFont="1" applyFill="1" applyBorder="1" applyAlignment="1" applyProtection="1">
      <alignment horizontal="center" vertical="center" textRotation="255" wrapText="1"/>
      <protection hidden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externalLink" Target="externalLinks/externalLink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30</xdr:row>
      <xdr:rowOff>76200</xdr:rowOff>
    </xdr:from>
    <xdr:to>
      <xdr:col>16</xdr:col>
      <xdr:colOff>495300</xdr:colOff>
      <xdr:row>30</xdr:row>
      <xdr:rowOff>177800</xdr:rowOff>
    </xdr:to>
    <xdr:sp macro="" textlink="">
      <xdr:nvSpPr>
        <xdr:cNvPr id="15" name="Flecha: a la derecha 14">
          <a:extLst>
            <a:ext uri="{FF2B5EF4-FFF2-40B4-BE49-F238E27FC236}">
              <a16:creationId xmlns:a16="http://schemas.microsoft.com/office/drawing/2014/main" id="{CD2E84B5-5EF6-413B-9834-A7499973EA3F}"/>
            </a:ext>
          </a:extLst>
        </xdr:cNvPr>
        <xdr:cNvSpPr/>
      </xdr:nvSpPr>
      <xdr:spPr>
        <a:xfrm>
          <a:off x="18278475" y="6572250"/>
          <a:ext cx="381000" cy="101600"/>
        </a:xfrm>
        <a:prstGeom prst="rightArrow">
          <a:avLst/>
        </a:prstGeom>
        <a:solidFill>
          <a:schemeClr val="tx2">
            <a:lumMod val="50000"/>
            <a:lumOff val="50000"/>
          </a:schemeClr>
        </a:solidFill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coiwin" ddeTopic="valor">
    <ddeItems>
      <ddeItem name="@CTA[102-000-000, I]{0125}" advise="1"/>
      <ddeItem name="@CTA[102-000-000, I]{0225}" advise="1"/>
      <ddeItem name="@CTA[102-000-000, I]{0325}" advise="1"/>
      <ddeItem name="@CTA[102-000-000, I]{0425}" advise="1"/>
      <ddeItem name="@CTA[102-000-000, I]{0525}" advise="1"/>
      <ddeItem name="@CTA[102-000-000, I]{0625}" advise="1"/>
      <ddeItem name="@CTA[102-000-000, I]{0725}" advise="1"/>
      <ddeItem name="@CTA[102-000-000, I]{0825}" advise="1"/>
      <ddeItem name="@CTA[102-000-000, I]{0925}" advise="1"/>
      <ddeItem name="@CTA[102-000-000, I]{1025}" advise="1"/>
      <ddeItem name="@CTA[102-000-000, I]{1125}" advise="1"/>
      <ddeItem name="@CTA[102-000-000, I]{1225}" advise="1"/>
      <ddeItem name="@CTA[102-001-001, D]{0125}" advise="1"/>
      <ddeItem name="@CTA[102-001-001, D]{0225}" advise="1"/>
      <ddeItem name="@CTA[102-001-001, D]{0325}" advise="1"/>
      <ddeItem name="@CTA[102-001-001, D]{0425}" advise="1"/>
      <ddeItem name="@CTA[102-001-001, D]{0525}" advise="1"/>
      <ddeItem name="@CTA[102-001-001, D]{0625}" advise="1"/>
      <ddeItem name="@CTA[102-001-001, D]{0725}" advise="1"/>
      <ddeItem name="@CTA[102-001-001, D]{0825}" advise="1"/>
      <ddeItem name="@CTA[102-001-001, D]{0925}" advise="1"/>
      <ddeItem name="@CTA[102-001-001, D]{1025}" advise="1"/>
      <ddeItem name="@CTA[102-001-001, D]{1125}" advise="1"/>
      <ddeItem name="@CTA[102-001-001, D]{1225}" advise="1"/>
      <ddeItem name="@CTA[102-001-003, D]{0125}" advise="1"/>
      <ddeItem name="@CTA[102-001-003, D]{0225}" advise="1"/>
      <ddeItem name="@CTA[102-001-003, D]{0325}" advise="1"/>
      <ddeItem name="@CTA[102-001-003, D]{0425}" advise="1"/>
      <ddeItem name="@CTA[102-001-003, D]{0525}" advise="1"/>
      <ddeItem name="@CTA[102-001-003, D]{0625}" advise="1"/>
      <ddeItem name="@CTA[102-001-003, D]{0725}" advise="1"/>
      <ddeItem name="@CTA[102-001-003, D]{0825}" advise="1"/>
      <ddeItem name="@CTA[102-001-003, D]{0925}" advise="1"/>
      <ddeItem name="@CTA[102-001-003, D]{1025}" advise="1"/>
      <ddeItem name="@CTA[102-001-003, D]{1125}" advise="1"/>
      <ddeItem name="@CTA[102-001-003, D]{1225}" advise="1"/>
      <ddeItem name="@CTA[103-000-000, H]{0125}" advise="1"/>
      <ddeItem name="@CTA[103-000-000, H]{0225}" advise="1"/>
      <ddeItem name="@CTA[103-000-000, H]{0325}" advise="1"/>
      <ddeItem name="@CTA[103-000-000, H]{0425}" advise="1"/>
      <ddeItem name="@CTA[103-000-000, H]{0525}" advise="1"/>
      <ddeItem name="@CTA[103-000-000, H]{0625}" advise="1"/>
      <ddeItem name="@CTA[103-000-000, H]{0725}" advise="1"/>
      <ddeItem name="@CTA[103-000-000, H]{0825}" advise="1"/>
      <ddeItem name="@CTA[103-000-000, H]{0925}" advise="1"/>
      <ddeItem name="@CTA[103-000-000, H]{1025}" advise="1"/>
      <ddeItem name="@CTA[103-000-000, H]{1125}" advise="1"/>
      <ddeItem name="@CTA[103-000-000, H]{1225}" advise="1"/>
      <ddeItem name="@CTA[103-000-000, I]{0125}" advise="1"/>
      <ddeItem name="@CTA[103-000-000, I]{0225}" advise="1"/>
      <ddeItem name="@CTA[103-000-000, I]{0325}" advise="1"/>
      <ddeItem name="@CTA[103-000-000, I]{0425}" advise="1"/>
      <ddeItem name="@CTA[103-000-000, I]{0525}" advise="1"/>
      <ddeItem name="@CTA[103-000-000, I]{0625}" advise="1"/>
      <ddeItem name="@CTA[103-000-000, I]{0725}" advise="1"/>
      <ddeItem name="@CTA[103-000-000, I]{0825}" advise="1"/>
      <ddeItem name="@CTA[103-000-000, I]{0925}" advise="1"/>
      <ddeItem name="@CTA[103-000-000, I]{1025}" advise="1"/>
      <ddeItem name="@CTA[103-000-000, I]{1125}" advise="1"/>
      <ddeItem name="@CTA[103-000-000, I]{1225}" advise="1"/>
      <ddeItem name="@CTA[104-000-000, F]{0125}" advise="1"/>
      <ddeItem name="@CTA[104-000-000, F]{0225}" advise="1"/>
      <ddeItem name="@CTA[104-000-000, F]{0325}" advise="1"/>
      <ddeItem name="@CTA[104-000-000, F]{0425}" advise="1"/>
      <ddeItem name="@CTA[104-000-000, F]{0525}" advise="1"/>
      <ddeItem name="@CTA[104-000-000, F]{0625}" advise="1"/>
      <ddeItem name="@CTA[104-000-000, F]{0725}" advise="1"/>
      <ddeItem name="@CTA[104-000-000, F]{0825}" advise="1"/>
      <ddeItem name="@CTA[104-000-000, F]{0925}" advise="1"/>
      <ddeItem name="@CTA[104-000-000, F]{1025}" advise="1"/>
      <ddeItem name="@CTA[104-000-000, F]{1125}" advise="1"/>
      <ddeItem name="@CTA[104-000-000, F]{1225}" advise="1"/>
      <ddeItem name="@CTA[201-000-000, D]{0125}" advise="1"/>
      <ddeItem name="@CTA[201-000-000, D]{0225}" advise="1"/>
      <ddeItem name="@CTA[201-000-000, D]{0325}" advise="1"/>
      <ddeItem name="@CTA[201-000-000, D]{0425}" advise="1"/>
      <ddeItem name="@CTA[201-000-000, D]{0525}" advise="1"/>
      <ddeItem name="@CTA[201-000-000, D]{0625}" advise="1"/>
      <ddeItem name="@CTA[201-000-000, D]{0725}" advise="1"/>
      <ddeItem name="@CTA[201-000-000, D]{0825}" advise="1"/>
      <ddeItem name="@CTA[201-000-000, D]{0925}" advise="1"/>
      <ddeItem name="@CTA[201-000-000, D]{1025}" advise="1"/>
      <ddeItem name="@CTA[201-000-000, D]{1125}" advise="1"/>
      <ddeItem name="@CTA[201-000-000, D]{1225}" advise="1"/>
      <ddeItem name="@CTA[201-000-000, F]{0125}" advise="1"/>
      <ddeItem name="@CTA[201-000-000, F]{0225}" advise="1"/>
      <ddeItem name="@CTA[201-000-000, F]{0325}" advise="1"/>
      <ddeItem name="@CTA[201-000-000, F]{0425}" advise="1"/>
      <ddeItem name="@CTA[201-000-000, F]{0525}" advise="1"/>
      <ddeItem name="@CTA[201-000-000, F]{0625}" advise="1"/>
      <ddeItem name="@CTA[201-000-000, F]{0725}" advise="1"/>
      <ddeItem name="@CTA[201-000-000, F]{0825}" advise="1"/>
      <ddeItem name="@CTA[201-000-000, F]{0925}" advise="1"/>
      <ddeItem name="@CTA[201-000-000, F]{1025}" advise="1"/>
      <ddeItem name="@CTA[201-000-000, F]{1125}" advise="1"/>
      <ddeItem name="@CTA[201-000-000, F]{1225}" advise="1"/>
      <ddeItem name="@CTA[202-000-000, D]{0125}" advise="1"/>
      <ddeItem name="@CTA[202-000-000, D]{0225}" advise="1"/>
      <ddeItem name="@CTA[202-000-000, D]{0325}" advise="1"/>
      <ddeItem name="@CTA[202-000-000, D]{0425}" advise="1"/>
      <ddeItem name="@CTA[202-000-000, D]{0525}" advise="1"/>
      <ddeItem name="@CTA[202-000-000, D]{0625}" advise="1"/>
      <ddeItem name="@CTA[202-000-000, D]{0725}" advise="1"/>
      <ddeItem name="@CTA[202-000-000, D]{0825}" advise="1"/>
      <ddeItem name="@CTA[202-000-000, D]{0925}" advise="1"/>
      <ddeItem name="@CTA[202-000-000, D]{1025}" advise="1"/>
      <ddeItem name="@CTA[202-000-000, D]{1125}" advise="1"/>
      <ddeItem name="@CTA[202-000-000, D]{1225}" advise="1"/>
      <ddeItem name="@CTA[204-001-000, D]{0125}" advise="1"/>
      <ddeItem name="@CTA[204-001-000, D]{0225}" advise="1"/>
      <ddeItem name="@CTA[204-001-000, D]{0325}" advise="1"/>
      <ddeItem name="@CTA[204-001-000, D]{0425}" advise="1"/>
      <ddeItem name="@CTA[204-001-000, D]{0525}" advise="1"/>
      <ddeItem name="@CTA[204-001-000, D]{0625}" advise="1"/>
      <ddeItem name="@CTA[204-001-000, D]{0725}" advise="1"/>
      <ddeItem name="@CTA[204-001-000, D]{0825}" advise="1"/>
      <ddeItem name="@CTA[204-001-000, D]{0925}" advise="1"/>
      <ddeItem name="@CTA[204-001-000, D]{1025}" advise="1"/>
      <ddeItem name="@CTA[204-001-000, D]{1125}" advise="1"/>
      <ddeItem name="@CTA[204-001-000, D]{1225}" advise="1"/>
      <ddeItem name="@CTA[204-001-000, F]{0125}" advise="1"/>
      <ddeItem name="@CTA[204-001-000, F]{0225}" advise="1"/>
      <ddeItem name="@CTA[204-001-000, F]{0325}" advise="1"/>
      <ddeItem name="@CTA[204-001-000, F]{0425}" advise="1"/>
      <ddeItem name="@CTA[204-001-000, F]{0525}" advise="1"/>
      <ddeItem name="@CTA[204-001-000, F]{0625}" advise="1"/>
      <ddeItem name="@CTA[204-001-000, F]{0725}" advise="1"/>
      <ddeItem name="@CTA[204-001-000, F]{0825}" advise="1"/>
      <ddeItem name="@CTA[204-001-000, F]{0925}" advise="1"/>
      <ddeItem name="@CTA[204-001-000, F]{1025}" advise="1"/>
      <ddeItem name="@CTA[204-001-000, F]{1125}" advise="1"/>
      <ddeItem name="@CTA[204-001-000, F]{1225}" advise="1"/>
      <ddeItem name="@CTA[205-000-000, D]{0125}" advise="1"/>
      <ddeItem name="@CTA[205-000-000, D]{0225}" advise="1"/>
      <ddeItem name="@CTA[205-000-000, D]{0325}" advise="1"/>
      <ddeItem name="@CTA[205-000-000, D]{0425}" advise="1"/>
      <ddeItem name="@CTA[205-000-000, D]{0525}" advise="1"/>
      <ddeItem name="@CTA[205-000-000, D]{0625}" advise="1"/>
      <ddeItem name="@CTA[205-000-000, D]{0725}" advise="1"/>
      <ddeItem name="@CTA[205-000-000, D]{0825}" advise="1"/>
      <ddeItem name="@CTA[205-000-000, D]{0925}" advise="1"/>
      <ddeItem name="@CTA[205-000-000, D]{1025}" advise="1"/>
      <ddeItem name="@CTA[205-000-000, D]{1125}" advise="1"/>
      <ddeItem name="@CTA[205-000-000, D]{1225}" advise="1"/>
      <ddeItem name="@CTA[205-000-000, F]{0125}" advise="1"/>
      <ddeItem name="@CTA[205-000-000, F]{0225}" advise="1"/>
      <ddeItem name="@CTA[205-000-000, F]{0325}" advise="1"/>
      <ddeItem name="@CTA[205-000-000, F]{0425}" advise="1"/>
      <ddeItem name="@CTA[205-000-000, F]{0525}" advise="1"/>
      <ddeItem name="@CTA[205-000-000, F]{0625}" advise="1"/>
      <ddeItem name="@CTA[205-000-000, F]{0725}" advise="1"/>
      <ddeItem name="@CTA[205-000-000, F]{0825}" advise="1"/>
      <ddeItem name="@CTA[205-000-000, F]{0925}" advise="1"/>
      <ddeItem name="@CTA[205-000-000, F]{1025}" advise="1"/>
      <ddeItem name="@CTA[205-000-000, F]{1125}" advise="1"/>
      <ddeItem name="@CTA[205-000-000, F]{1225}" advise="1"/>
      <ddeItem name="@CTA[206-000-000, D]{0125}" advise="1"/>
      <ddeItem name="@CTA[206-000-000, D]{0225}" advise="1"/>
      <ddeItem name="@CTA[206-000-000, D]{0325}" advise="1"/>
      <ddeItem name="@CTA[206-000-000, D]{0425}" advise="1"/>
      <ddeItem name="@CTA[206-000-000, D]{0525}" advise="1"/>
      <ddeItem name="@CTA[206-000-000, D]{0625}" advise="1"/>
      <ddeItem name="@CTA[206-000-000, D]{0725}" advise="1"/>
      <ddeItem name="@CTA[206-000-000, D]{0825}" advise="1"/>
      <ddeItem name="@CTA[206-000-000, D]{0925}" advise="1"/>
      <ddeItem name="@CTA[206-000-000, D]{1025}" advise="1"/>
      <ddeItem name="@CTA[206-000-000, D]{1125}" advise="1"/>
      <ddeItem name="@CTA[206-000-000, D]{1225}" advise="1"/>
      <ddeItem name="@CTA[206-000-000, F]{0125}" advise="1"/>
      <ddeItem name="@CTA[206-000-000, F]{0225}" advise="1"/>
      <ddeItem name="@CTA[206-000-000, F]{0325}" advise="1"/>
      <ddeItem name="@CTA[206-000-000, F]{0425}" advise="1"/>
      <ddeItem name="@CTA[206-000-000, F]{0525}" advise="1"/>
      <ddeItem name="@CTA[206-000-000, F]{0625}" advise="1"/>
      <ddeItem name="@CTA[206-000-000, F]{0725}" advise="1"/>
      <ddeItem name="@CTA[206-000-000, F]{0825}" advise="1"/>
      <ddeItem name="@CTA[206-000-000, F]{0925}" advise="1"/>
      <ddeItem name="@CTA[206-000-000, F]{1025}" advise="1"/>
      <ddeItem name="@CTA[206-000-000, F]{1125}" advise="1"/>
      <ddeItem name="@CTA[206-000-000, F]{1225}" advise="1"/>
      <ddeItem name="@CTA[207-000-000, D]{0125}" advise="1"/>
      <ddeItem name="@CTA[207-000-000, D]{0225}" advise="1"/>
      <ddeItem name="@CTA[207-000-000, D]{0325}" advise="1"/>
      <ddeItem name="@CTA[207-000-000, D]{0425}" advise="1"/>
      <ddeItem name="@CTA[207-000-000, D]{0525}" advise="1"/>
      <ddeItem name="@CTA[207-000-000, D]{0625}" advise="1"/>
      <ddeItem name="@CTA[207-000-000, D]{0725}" advise="1"/>
      <ddeItem name="@CTA[207-000-000, D]{0825}" advise="1"/>
      <ddeItem name="@CTA[207-000-000, D]{0925}" advise="1"/>
      <ddeItem name="@CTA[207-000-000, D]{1025}" advise="1"/>
      <ddeItem name="@CTA[207-000-000, D]{1125}" advise="1"/>
      <ddeItem name="@CTA[207-000-000, D]{1225}" advise="1"/>
      <ddeItem name="@CTA[207-000-000, F]{0125}" advise="1"/>
      <ddeItem name="@CTA[207-000-000, F]{0225}" advise="1"/>
      <ddeItem name="@CTA[207-000-000, F]{0325}" advise="1"/>
      <ddeItem name="@CTA[207-000-000, F]{0425}" advise="1"/>
      <ddeItem name="@CTA[207-000-000, F]{0525}" advise="1"/>
      <ddeItem name="@CTA[207-000-000, F]{0625}" advise="1"/>
      <ddeItem name="@CTA[207-000-000, F]{0725}" advise="1"/>
      <ddeItem name="@CTA[207-000-000, F]{0825}" advise="1"/>
      <ddeItem name="@CTA[207-000-000, F]{0925}" advise="1"/>
      <ddeItem name="@CTA[207-000-000, F]{1025}" advise="1"/>
      <ddeItem name="@CTA[207-000-000, F]{1125}" advise="1"/>
      <ddeItem name="@CTA[207-000-000, F]{1225}" advise="1"/>
      <ddeItem name="@CTA[403-000-000, H]{0125}" advise="1"/>
      <ddeItem name="@CTA[403-000-000, H]{0225}" advise="1"/>
      <ddeItem name="@CTA[403-000-000, H]{0325}" advise="1"/>
      <ddeItem name="@CTA[403-000-000, H]{0425}" advise="1"/>
      <ddeItem name="@CTA[403-000-000, H]{0525}" advise="1"/>
      <ddeItem name="@CTA[403-000-000, H]{0625}" advise="1"/>
      <ddeItem name="@CTA[403-000-000, H]{0725}" advise="1"/>
      <ddeItem name="@CTA[403-000-000, H]{0825}" advise="1"/>
      <ddeItem name="@CTA[403-000-000, H]{0925}" advise="1"/>
      <ddeItem name="@CTA[403-000-000, H]{1025}" advise="1"/>
      <ddeItem name="@CTA[403-000-000, H]{1125}" advise="1"/>
      <ddeItem name="@CTA[403-000-000, H]{1225}" advise="1"/>
      <ddeItem name="@CTA[609-001-000, D]{0125}" advise="1"/>
      <ddeItem name="@CTA[609-001-000, D]{0225}" advise="1"/>
      <ddeItem name="@CTA[609-001-000, D]{0325}" advise="1"/>
      <ddeItem name="@CTA[609-001-000, D]{0425}" advise="1"/>
      <ddeItem name="@CTA[609-001-000, D]{0525}" advise="1"/>
      <ddeItem name="@CTA[609-001-000, D]{0625}" advise="1"/>
      <ddeItem name="@CTA[609-001-000, D]{0725}" advise="1"/>
      <ddeItem name="@CTA[609-001-000, D]{0825}" advise="1"/>
      <ddeItem name="@CTA[609-001-000, D]{0925}" advise="1"/>
      <ddeItem name="@CTA[609-001-000, D]{1025}" advise="1"/>
      <ddeItem name="@CTA[609-001-000, D]{1125}" advise="1"/>
      <ddeItem name="@CTA[609-001-000, D]{1225}" advise="1"/>
      <ddeItem name="StdDocumentName" ole="1" advise="1"/>
    </ddeItems>
  </ddeLin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#REF!</fb>
    <v>10</v>
    <v>38</v>
  </rv>
  <rv s="1">
    <v>10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EE5D-0F47-4333-ACD5-A0DDBCE0087E}">
  <dimension ref="B2:V41"/>
  <sheetViews>
    <sheetView tabSelected="1" workbookViewId="0">
      <selection activeCell="S1" sqref="S1:S1048576"/>
    </sheetView>
  </sheetViews>
  <sheetFormatPr baseColWidth="10" defaultColWidth="13.140625" defaultRowHeight="19.5" outlineLevelRow="1" x14ac:dyDescent="0.25"/>
  <cols>
    <col min="1" max="1" width="1.28515625" style="1" customWidth="1"/>
    <col min="2" max="2" width="8.5703125" style="1" customWidth="1"/>
    <col min="3" max="3" width="9" style="2" customWidth="1"/>
    <col min="4" max="4" width="44.42578125" style="3" bestFit="1" customWidth="1"/>
    <col min="5" max="5" width="17.42578125" style="4" bestFit="1" customWidth="1"/>
    <col min="6" max="16" width="17.42578125" style="4" hidden="1" customWidth="1"/>
    <col min="17" max="17" width="16.85546875" style="1" customWidth="1"/>
    <col min="18" max="18" width="50.85546875" style="5" hidden="1" customWidth="1"/>
    <col min="19" max="19" width="37.42578125" style="1" bestFit="1" customWidth="1"/>
    <col min="20" max="20" width="15.7109375" style="1" customWidth="1"/>
    <col min="21" max="21" width="14.7109375" style="1" bestFit="1" customWidth="1"/>
    <col min="22" max="16384" width="13.140625" style="1"/>
  </cols>
  <sheetData>
    <row r="2" spans="2:21" x14ac:dyDescent="0.25">
      <c r="D2" s="52"/>
      <c r="E2" s="52"/>
      <c r="F2" s="52"/>
      <c r="G2" s="6"/>
      <c r="H2" s="6"/>
      <c r="I2" s="6"/>
      <c r="J2" s="6"/>
      <c r="K2" s="6"/>
      <c r="L2" s="6"/>
      <c r="M2" s="6"/>
      <c r="N2" s="6"/>
      <c r="O2" s="6"/>
      <c r="P2" s="6"/>
    </row>
    <row r="3" spans="2:21" s="9" customFormat="1" x14ac:dyDescent="0.25">
      <c r="B3" s="7" t="s">
        <v>0</v>
      </c>
      <c r="C3" s="53" t="s">
        <v>1</v>
      </c>
      <c r="D3" s="53"/>
      <c r="E3" s="8" t="s">
        <v>2</v>
      </c>
      <c r="F3" s="8" t="s">
        <v>3</v>
      </c>
      <c r="G3" s="8" t="s">
        <v>4</v>
      </c>
      <c r="H3" s="8" t="s">
        <v>5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8" t="s">
        <v>12</v>
      </c>
      <c r="P3" s="8" t="s">
        <v>13</v>
      </c>
      <c r="R3" s="5"/>
      <c r="S3" s="9" t="s">
        <v>48</v>
      </c>
      <c r="T3" s="9" t="s">
        <v>49</v>
      </c>
    </row>
    <row r="4" spans="2:21" x14ac:dyDescent="0.25">
      <c r="B4" s="54" t="s">
        <v>14</v>
      </c>
      <c r="C4" s="10"/>
      <c r="D4" s="11" t="s">
        <v>15</v>
      </c>
      <c r="E4" s="12" t="e" vm="1">
        <f>[1]!'@CTA[102-000-000, I]{0125}'</f>
        <v>#REF!</v>
      </c>
      <c r="F4" s="12" t="e" vm="1">
        <f>[1]!'@CTA[102-000-000, I]{0225}'</f>
        <v>#REF!</v>
      </c>
      <c r="G4" s="12" t="e" vm="1">
        <f>[1]!'@CTA[102-000-000, I]{0325}'</f>
        <v>#REF!</v>
      </c>
      <c r="H4" s="12" t="e" vm="1">
        <f>[1]!'@CTA[102-000-000, I]{0425}'</f>
        <v>#REF!</v>
      </c>
      <c r="I4" s="12" t="e" vm="1">
        <f>[1]!'@CTA[102-000-000, I]{0525}'</f>
        <v>#REF!</v>
      </c>
      <c r="J4" s="12" t="e" vm="1">
        <f>[1]!'@CTA[102-000-000, I]{0625}'</f>
        <v>#REF!</v>
      </c>
      <c r="K4" s="12" t="e" vm="1">
        <f>[1]!'@CTA[102-000-000, I]{0725}'</f>
        <v>#REF!</v>
      </c>
      <c r="L4" s="12" t="e" vm="1">
        <f>[1]!'@CTA[102-000-000, I]{0825}'</f>
        <v>#REF!</v>
      </c>
      <c r="M4" s="12" t="e" vm="1">
        <f>[1]!'@CTA[102-000-000, I]{0925}'</f>
        <v>#REF!</v>
      </c>
      <c r="N4" s="12" t="e" vm="1">
        <f>[1]!'@CTA[102-000-000, I]{1025}'</f>
        <v>#REF!</v>
      </c>
      <c r="O4" s="12" t="e" vm="1">
        <f>[1]!'@CTA[102-000-000, I]{1125}'</f>
        <v>#REF!</v>
      </c>
      <c r="P4" s="12" t="e" vm="1">
        <f>[1]!'@CTA[102-000-000, I]{1225}'</f>
        <v>#REF!</v>
      </c>
      <c r="Q4" s="1" t="s">
        <v>1096</v>
      </c>
      <c r="S4" s="1" t="s">
        <v>1097</v>
      </c>
      <c r="T4" s="1" t="s">
        <v>60</v>
      </c>
      <c r="U4" s="1" t="s">
        <v>1106</v>
      </c>
    </row>
    <row r="5" spans="2:21" x14ac:dyDescent="0.25">
      <c r="B5" s="54"/>
      <c r="C5" s="13"/>
      <c r="D5" s="14" t="s">
        <v>1100</v>
      </c>
      <c r="E5" s="12" t="e" vm="1">
        <f>[1]!'@CTA[102-000-000, I]{0125}'</f>
        <v>#REF!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" t="s">
        <v>1096</v>
      </c>
      <c r="S5" s="1" t="s">
        <v>1101</v>
      </c>
      <c r="T5" s="1" t="s">
        <v>76</v>
      </c>
      <c r="U5" s="1" t="s">
        <v>1106</v>
      </c>
    </row>
    <row r="6" spans="2:21" x14ac:dyDescent="0.25">
      <c r="B6" s="54"/>
      <c r="C6" s="13" t="s">
        <v>17</v>
      </c>
      <c r="D6" s="14" t="s">
        <v>1109</v>
      </c>
      <c r="E6" s="12" t="e" vm="1">
        <f>[1]!'@CTA[102-001-001, D]{0125}'-E8-E9</f>
        <v>#REF!</v>
      </c>
      <c r="F6" s="12" t="e" vm="1">
        <f>[1]!'@CTA[102-001-001, D]{0225}'-F8-F9</f>
        <v>#REF!</v>
      </c>
      <c r="G6" s="12" t="e" vm="1">
        <f>[1]!'@CTA[102-001-001, D]{0325}'-G8-G9</f>
        <v>#REF!</v>
      </c>
      <c r="H6" s="12" t="e" vm="1">
        <f>[1]!'@CTA[102-001-001, D]{0425}'-H8-H9</f>
        <v>#REF!</v>
      </c>
      <c r="I6" s="12" t="e" vm="1">
        <f>[1]!'@CTA[102-001-001, D]{0525}'-I8-I9</f>
        <v>#REF!</v>
      </c>
      <c r="J6" s="12" t="e" vm="1">
        <f>[1]!'@CTA[102-001-001, D]{0625}'-J8-J9</f>
        <v>#REF!</v>
      </c>
      <c r="K6" s="12" t="e" vm="1">
        <f>[1]!'@CTA[102-001-001, D]{0725}'-K8-K9</f>
        <v>#REF!</v>
      </c>
      <c r="L6" s="12" t="e" vm="1">
        <f>[1]!'@CTA[102-001-001, D]{0825}'-L8-L9</f>
        <v>#REF!</v>
      </c>
      <c r="M6" s="12" t="e" vm="1">
        <f>[1]!'@CTA[102-001-001, D]{0925}'-M8-M9</f>
        <v>#REF!</v>
      </c>
      <c r="N6" s="12" t="e" vm="1">
        <f>[1]!'@CTA[102-001-001, D]{1025}'-N8-N9</f>
        <v>#REF!</v>
      </c>
      <c r="O6" s="12" t="e" vm="1">
        <f>[1]!'@CTA[102-001-001, D]{1125}'-O8-O9</f>
        <v>#REF!</v>
      </c>
      <c r="P6" s="12" t="e" vm="1">
        <f>[1]!'@CTA[102-001-001, D]{1225}'-P8-P9</f>
        <v>#REF!</v>
      </c>
      <c r="Q6" s="1" t="s">
        <v>1098</v>
      </c>
      <c r="S6" s="1" t="s">
        <v>1099</v>
      </c>
      <c r="U6" s="1" t="s">
        <v>1107</v>
      </c>
    </row>
    <row r="7" spans="2:21" x14ac:dyDescent="0.25">
      <c r="B7" s="54"/>
      <c r="C7" s="13" t="s">
        <v>17</v>
      </c>
      <c r="D7" s="14" t="s">
        <v>1110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" t="s">
        <v>1098</v>
      </c>
      <c r="S7" s="1" t="s">
        <v>1111</v>
      </c>
    </row>
    <row r="8" spans="2:21" x14ac:dyDescent="0.25">
      <c r="B8" s="54"/>
      <c r="C8" s="13" t="s">
        <v>17</v>
      </c>
      <c r="D8" s="14" t="s">
        <v>46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" t="s">
        <v>1096</v>
      </c>
      <c r="R8" s="16" t="s">
        <v>18</v>
      </c>
      <c r="S8" s="1" t="s">
        <v>585</v>
      </c>
      <c r="T8" s="1" t="str">
        <f>+CONTABILIDAD!A275</f>
        <v>404-001-000</v>
      </c>
    </row>
    <row r="9" spans="2:21" ht="20.25" thickBot="1" x14ac:dyDescent="0.3">
      <c r="B9" s="54"/>
      <c r="C9" s="13" t="s">
        <v>17</v>
      </c>
      <c r="D9" s="14" t="s">
        <v>47</v>
      </c>
      <c r="E9" s="15" t="e" vm="1">
        <f>[1]!'@CTA[103-000-000, H]{0125}'</f>
        <v>#REF!</v>
      </c>
      <c r="F9" s="15" t="e" vm="1">
        <f>[1]!'@CTA[103-000-000, H]{0225}'</f>
        <v>#REF!</v>
      </c>
      <c r="G9" s="15" t="e" vm="1">
        <f>[1]!'@CTA[103-000-000, H]{0325}'</f>
        <v>#REF!</v>
      </c>
      <c r="H9" s="15" t="e" vm="1">
        <f>[1]!'@CTA[103-000-000, H]{0425}'</f>
        <v>#REF!</v>
      </c>
      <c r="I9" s="15" t="e" vm="1">
        <f>[1]!'@CTA[103-000-000, H]{0525}'</f>
        <v>#REF!</v>
      </c>
      <c r="J9" s="15" t="e" vm="1">
        <f>[1]!'@CTA[103-000-000, H]{0625}'</f>
        <v>#REF!</v>
      </c>
      <c r="K9" s="15" t="e" vm="1">
        <f>[1]!'@CTA[103-000-000, H]{0725}'</f>
        <v>#REF!</v>
      </c>
      <c r="L9" s="15" t="e" vm="1">
        <f>[1]!'@CTA[103-000-000, H]{0825}'</f>
        <v>#REF!</v>
      </c>
      <c r="M9" s="15" t="e" vm="1">
        <f>[1]!'@CTA[103-000-000, H]{0925}'</f>
        <v>#REF!</v>
      </c>
      <c r="N9" s="15" t="e" vm="1">
        <f>[1]!'@CTA[103-000-000, H]{1025}'</f>
        <v>#REF!</v>
      </c>
      <c r="O9" s="15" t="e" vm="1">
        <f>[1]!'@CTA[103-000-000, H]{1125}'</f>
        <v>#REF!</v>
      </c>
      <c r="P9" s="15" t="e" vm="1">
        <f>[1]!'@CTA[103-000-000, H]{1225}'</f>
        <v>#REF!</v>
      </c>
      <c r="Q9" s="1" t="s">
        <v>1096</v>
      </c>
      <c r="R9" s="16"/>
      <c r="S9" s="45" t="s">
        <v>1103</v>
      </c>
      <c r="T9" s="1" t="str">
        <f>+CONTABILIDAD!A13</f>
        <v>103-000-000</v>
      </c>
      <c r="U9" s="1" t="s">
        <v>1108</v>
      </c>
    </row>
    <row r="10" spans="2:21" x14ac:dyDescent="0.25">
      <c r="B10" s="54"/>
      <c r="C10" s="17"/>
      <c r="D10" s="18" t="s">
        <v>19</v>
      </c>
      <c r="E10" s="19" t="e" vm="2">
        <f t="shared" ref="E10:P10" si="0">SUM(E4:E9)</f>
        <v>#VALUE!</v>
      </c>
      <c r="F10" s="19" t="e" vm="2">
        <f t="shared" si="0"/>
        <v>#VALUE!</v>
      </c>
      <c r="G10" s="19" t="e" vm="2">
        <f t="shared" si="0"/>
        <v>#VALUE!</v>
      </c>
      <c r="H10" s="19" t="e" vm="2">
        <f t="shared" si="0"/>
        <v>#VALUE!</v>
      </c>
      <c r="I10" s="19" t="e" vm="2">
        <f t="shared" si="0"/>
        <v>#VALUE!</v>
      </c>
      <c r="J10" s="19" t="e" vm="2">
        <f t="shared" si="0"/>
        <v>#VALUE!</v>
      </c>
      <c r="K10" s="19" t="e" vm="2">
        <f t="shared" si="0"/>
        <v>#VALUE!</v>
      </c>
      <c r="L10" s="19" t="e" vm="2">
        <f t="shared" si="0"/>
        <v>#VALUE!</v>
      </c>
      <c r="M10" s="19" t="e" vm="2">
        <f t="shared" si="0"/>
        <v>#VALUE!</v>
      </c>
      <c r="N10" s="19" t="e" vm="2">
        <f t="shared" si="0"/>
        <v>#VALUE!</v>
      </c>
      <c r="O10" s="19" t="e" vm="2">
        <f t="shared" si="0"/>
        <v>#VALUE!</v>
      </c>
      <c r="P10" s="19" t="e" vm="2">
        <f t="shared" si="0"/>
        <v>#VALUE!</v>
      </c>
      <c r="Q10" s="9" t="s">
        <v>20</v>
      </c>
    </row>
    <row r="11" spans="2:21" x14ac:dyDescent="0.25">
      <c r="B11" s="54"/>
      <c r="C11" s="17"/>
      <c r="D11" s="14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" t="s">
        <v>16</v>
      </c>
    </row>
    <row r="12" spans="2:21" x14ac:dyDescent="0.25">
      <c r="B12" s="54"/>
      <c r="C12" s="13" t="s">
        <v>21</v>
      </c>
      <c r="D12" s="14" t="s">
        <v>22</v>
      </c>
      <c r="E12" s="12" t="e" vm="1">
        <f>-[1]!'@CTA[201-000-000, D]{0125}'</f>
        <v>#REF!</v>
      </c>
      <c r="F12" s="12" t="e" vm="1">
        <f>-[1]!'@CTA[201-000-000, D]{0225}'</f>
        <v>#REF!</v>
      </c>
      <c r="G12" s="12" t="e" vm="1">
        <f>-[1]!'@CTA[201-000-000, D]{0325}'</f>
        <v>#REF!</v>
      </c>
      <c r="H12" s="12" t="e" vm="1">
        <f>-[1]!'@CTA[201-000-000, D]{0425}'</f>
        <v>#REF!</v>
      </c>
      <c r="I12" s="12" t="e" vm="1">
        <f>-[1]!'@CTA[201-000-000, D]{0525}'</f>
        <v>#REF!</v>
      </c>
      <c r="J12" s="12" t="e" vm="1">
        <f>-[1]!'@CTA[201-000-000, D]{0625}'</f>
        <v>#REF!</v>
      </c>
      <c r="K12" s="12" t="e" vm="1">
        <f>-[1]!'@CTA[201-000-000, D]{0725}'</f>
        <v>#REF!</v>
      </c>
      <c r="L12" s="12" t="e" vm="1">
        <f>-[1]!'@CTA[201-000-000, D]{0825}'</f>
        <v>#REF!</v>
      </c>
      <c r="M12" s="12" t="e" vm="1">
        <f>-[1]!'@CTA[201-000-000, D]{0925}'</f>
        <v>#REF!</v>
      </c>
      <c r="N12" s="12" t="e" vm="1">
        <f>-[1]!'@CTA[201-000-000, D]{1025}'</f>
        <v>#REF!</v>
      </c>
      <c r="O12" s="12" t="e" vm="1">
        <f>-[1]!'@CTA[201-000-000, D]{1125}'</f>
        <v>#REF!</v>
      </c>
      <c r="P12" s="12" t="e" vm="1">
        <f>-[1]!'@CTA[201-000-000, D]{1225}'</f>
        <v>#REF!</v>
      </c>
      <c r="Q12" s="1" t="s">
        <v>1096</v>
      </c>
    </row>
    <row r="13" spans="2:21" x14ac:dyDescent="0.25">
      <c r="B13" s="54"/>
      <c r="C13" s="13" t="s">
        <v>21</v>
      </c>
      <c r="D13" s="14" t="s">
        <v>23</v>
      </c>
      <c r="E13" s="12" t="e" vm="1">
        <f>-[1]!'@CTA[202-000-000, D]{0125}'</f>
        <v>#REF!</v>
      </c>
      <c r="F13" s="12" t="e" vm="1">
        <f>-[1]!'@CTA[202-000-000, D]{0225}'</f>
        <v>#REF!</v>
      </c>
      <c r="G13" s="12" t="e" vm="1">
        <f>-[1]!'@CTA[202-000-000, D]{0325}'</f>
        <v>#REF!</v>
      </c>
      <c r="H13" s="12" t="e" vm="1">
        <f>-[1]!'@CTA[202-000-000, D]{0425}'</f>
        <v>#REF!</v>
      </c>
      <c r="I13" s="12" t="e" vm="1">
        <f>-[1]!'@CTA[202-000-000, D]{0525}'</f>
        <v>#REF!</v>
      </c>
      <c r="J13" s="12" t="e" vm="1">
        <f>-[1]!'@CTA[202-000-000, D]{0625}'</f>
        <v>#REF!</v>
      </c>
      <c r="K13" s="12" t="e" vm="1">
        <f>-[1]!'@CTA[202-000-000, D]{0725}'</f>
        <v>#REF!</v>
      </c>
      <c r="L13" s="12" t="e" vm="1">
        <f>-[1]!'@CTA[202-000-000, D]{0825}'</f>
        <v>#REF!</v>
      </c>
      <c r="M13" s="12" t="e" vm="1">
        <f>-[1]!'@CTA[202-000-000, D]{0925}'</f>
        <v>#REF!</v>
      </c>
      <c r="N13" s="12" t="e" vm="1">
        <f>-[1]!'@CTA[202-000-000, D]{1025}'</f>
        <v>#REF!</v>
      </c>
      <c r="O13" s="12" t="e" vm="1">
        <f>-[1]!'@CTA[202-000-000, D]{1125}'</f>
        <v>#REF!</v>
      </c>
      <c r="P13" s="12" t="e" vm="1">
        <f>-[1]!'@CTA[202-000-000, D]{1225}'</f>
        <v>#REF!</v>
      </c>
      <c r="Q13" s="1" t="s">
        <v>1096</v>
      </c>
    </row>
    <row r="14" spans="2:21" x14ac:dyDescent="0.25">
      <c r="B14" s="54"/>
      <c r="C14" s="13" t="s">
        <v>21</v>
      </c>
      <c r="D14" s="14" t="s">
        <v>24</v>
      </c>
      <c r="E14" s="12" t="e" vm="1">
        <f>-[1]!'@CTA[102-001-003, D]{0125}'</f>
        <v>#REF!</v>
      </c>
      <c r="F14" s="12" t="e" vm="1">
        <f>-[1]!'@CTA[102-001-003, D]{0225}'</f>
        <v>#REF!</v>
      </c>
      <c r="G14" s="12" t="e" vm="1">
        <f>-[1]!'@CTA[102-001-003, D]{0325}'</f>
        <v>#REF!</v>
      </c>
      <c r="H14" s="12" t="e" vm="1">
        <f>-[1]!'@CTA[102-001-003, D]{0425}'</f>
        <v>#REF!</v>
      </c>
      <c r="I14" s="12" t="e" vm="1">
        <f>-[1]!'@CTA[102-001-003, D]{0525}'</f>
        <v>#REF!</v>
      </c>
      <c r="J14" s="12" t="e" vm="1">
        <f>-[1]!'@CTA[102-001-003, D]{0625}'</f>
        <v>#REF!</v>
      </c>
      <c r="K14" s="12" t="e" vm="1">
        <f>-[1]!'@CTA[102-001-003, D]{0725}'</f>
        <v>#REF!</v>
      </c>
      <c r="L14" s="12" t="e" vm="1">
        <f>-[1]!'@CTA[102-001-003, D]{0825}'</f>
        <v>#REF!</v>
      </c>
      <c r="M14" s="12" t="e" vm="1">
        <f>-[1]!'@CTA[102-001-003, D]{0925}'</f>
        <v>#REF!</v>
      </c>
      <c r="N14" s="12" t="e" vm="1">
        <f>-[1]!'@CTA[102-001-003, D]{1025}'</f>
        <v>#REF!</v>
      </c>
      <c r="O14" s="12" t="e" vm="1">
        <f>-[1]!'@CTA[102-001-003, D]{1125}'</f>
        <v>#REF!</v>
      </c>
      <c r="P14" s="12" t="e" vm="1">
        <f>-[1]!'@CTA[102-001-003, D]{1225}'</f>
        <v>#REF!</v>
      </c>
      <c r="Q14" s="1" t="s">
        <v>1096</v>
      </c>
    </row>
    <row r="15" spans="2:21" x14ac:dyDescent="0.25">
      <c r="B15" s="54"/>
      <c r="C15" s="13" t="s">
        <v>21</v>
      </c>
      <c r="D15" s="14" t="s">
        <v>25</v>
      </c>
      <c r="E15" s="12" t="e" vm="1">
        <f>-[1]!'@CTA[204-001-000, D]{0125}'</f>
        <v>#REF!</v>
      </c>
      <c r="F15" s="12" t="e" vm="1">
        <f>-[1]!'@CTA[204-001-000, D]{0225}'</f>
        <v>#REF!</v>
      </c>
      <c r="G15" s="12" t="e" vm="1">
        <f>-[1]!'@CTA[204-001-000, D]{0325}'</f>
        <v>#REF!</v>
      </c>
      <c r="H15" s="12" t="e" vm="1">
        <f>-[1]!'@CTA[204-001-000, D]{0425}'</f>
        <v>#REF!</v>
      </c>
      <c r="I15" s="12" t="e" vm="1">
        <f>-[1]!'@CTA[204-001-000, D]{0525}'</f>
        <v>#REF!</v>
      </c>
      <c r="J15" s="12" t="e" vm="1">
        <f>-[1]!'@CTA[204-001-000, D]{0625}'</f>
        <v>#REF!</v>
      </c>
      <c r="K15" s="12" t="e" vm="1">
        <f>-[1]!'@CTA[204-001-000, D]{0725}'</f>
        <v>#REF!</v>
      </c>
      <c r="L15" s="12" t="e" vm="1">
        <f>-[1]!'@CTA[204-001-000, D]{0825}'</f>
        <v>#REF!</v>
      </c>
      <c r="M15" s="12" t="e" vm="1">
        <f>-[1]!'@CTA[204-001-000, D]{0925}'</f>
        <v>#REF!</v>
      </c>
      <c r="N15" s="12" t="e" vm="1">
        <f>-[1]!'@CTA[204-001-000, D]{1025}'</f>
        <v>#REF!</v>
      </c>
      <c r="O15" s="12" t="e" vm="1">
        <f>-[1]!'@CTA[204-001-000, D]{1125}'</f>
        <v>#REF!</v>
      </c>
      <c r="P15" s="12" t="e" vm="1">
        <f>-[1]!'@CTA[204-001-000, D]{1225}'</f>
        <v>#REF!</v>
      </c>
      <c r="Q15" s="1" t="s">
        <v>1096</v>
      </c>
    </row>
    <row r="16" spans="2:21" x14ac:dyDescent="0.25">
      <c r="B16" s="54"/>
      <c r="C16" s="13" t="s">
        <v>21</v>
      </c>
      <c r="D16" s="14" t="s">
        <v>26</v>
      </c>
      <c r="E16" s="12" t="e" vm="1">
        <f>-[1]!'@CTA[205-000-000, D]{0125}'-[1]!'@CTA[206-000-000, D]{0125}'-[1]!'@CTA[207-000-000, D]{0125}'</f>
        <v>#REF!</v>
      </c>
      <c r="F16" s="12" t="e" vm="1">
        <f>-[1]!'@CTA[205-000-000, D]{0225}'-[1]!'@CTA[206-000-000, D]{0225}'-[1]!'@CTA[207-000-000, D]{0225}'</f>
        <v>#REF!</v>
      </c>
      <c r="G16" s="12" t="e" vm="1">
        <f>-[1]!'@CTA[205-000-000, D]{0325}'-[1]!'@CTA[206-000-000, D]{0325}'-[1]!'@CTA[207-000-000, D]{0325}'</f>
        <v>#REF!</v>
      </c>
      <c r="H16" s="12" t="e" vm="1">
        <f>-[1]!'@CTA[205-000-000, D]{0425}'-[1]!'@CTA[206-000-000, D]{0425}'-[1]!'@CTA[207-000-000, D]{0425}'</f>
        <v>#REF!</v>
      </c>
      <c r="I16" s="12" t="e" vm="1">
        <f>-[1]!'@CTA[205-000-000, D]{0525}'-[1]!'@CTA[206-000-000, D]{0525}'-[1]!'@CTA[207-000-000, D]{0525}'</f>
        <v>#REF!</v>
      </c>
      <c r="J16" s="12" t="e" vm="1">
        <f>-[1]!'@CTA[205-000-000, D]{0625}'-[1]!'@CTA[206-000-000, D]{0625}'-[1]!'@CTA[207-000-000, D]{0625}'</f>
        <v>#REF!</v>
      </c>
      <c r="K16" s="12" t="e" vm="1">
        <f>-[1]!'@CTA[205-000-000, D]{0725}'-[1]!'@CTA[206-000-000, D]{0725}'-[1]!'@CTA[207-000-000, D]{0725}'</f>
        <v>#REF!</v>
      </c>
      <c r="L16" s="12" t="e" vm="1">
        <f>-[1]!'@CTA[205-000-000, D]{0825}'-[1]!'@CTA[206-000-000, D]{0825}'-[1]!'@CTA[207-000-000, D]{0825}'</f>
        <v>#REF!</v>
      </c>
      <c r="M16" s="12" t="e" vm="1">
        <f>-[1]!'@CTA[205-000-000, D]{0925}'-[1]!'@CTA[206-000-000, D]{0925}'-[1]!'@CTA[207-000-000, D]{0925}'</f>
        <v>#REF!</v>
      </c>
      <c r="N16" s="12" t="e" vm="1">
        <f>-[1]!'@CTA[205-000-000, D]{1025}'-[1]!'@CTA[206-000-000, D]{1025}'-[1]!'@CTA[207-000-000, D]{1025}'</f>
        <v>#REF!</v>
      </c>
      <c r="O16" s="12" t="e" vm="1">
        <f>-[1]!'@CTA[205-000-000, D]{1125}'-[1]!'@CTA[206-000-000, D]{1125}'-[1]!'@CTA[207-000-000, D]{1125}'</f>
        <v>#REF!</v>
      </c>
      <c r="P16" s="12" t="e" vm="1">
        <f>-[1]!'@CTA[205-000-000, D]{1225}'-[1]!'@CTA[206-000-000, D]{1225}'-[1]!'@CTA[207-000-000, D]{1225}'</f>
        <v>#REF!</v>
      </c>
      <c r="Q16" s="1" t="s">
        <v>1096</v>
      </c>
    </row>
    <row r="17" spans="2:22" x14ac:dyDescent="0.25">
      <c r="B17" s="54"/>
      <c r="C17" s="13" t="s">
        <v>21</v>
      </c>
      <c r="D17" s="14" t="s">
        <v>27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" t="s">
        <v>1096</v>
      </c>
      <c r="R17" s="16" t="s">
        <v>18</v>
      </c>
      <c r="S17" s="45" t="s">
        <v>1104</v>
      </c>
      <c r="T17" s="1" t="str">
        <f>+CONTABILIDAD!A13</f>
        <v>103-000-000</v>
      </c>
      <c r="U17" s="44" t="s">
        <v>1102</v>
      </c>
      <c r="V17" s="1" t="s">
        <v>1105</v>
      </c>
    </row>
    <row r="18" spans="2:22" ht="20.25" thickBot="1" x14ac:dyDescent="0.3">
      <c r="B18" s="54"/>
      <c r="C18" s="13" t="s">
        <v>21</v>
      </c>
      <c r="D18" s="14" t="s">
        <v>28</v>
      </c>
      <c r="E18" s="15" t="e" vm="1">
        <f>-[1]!'@CTA[609-001-000, D]{0125}'</f>
        <v>#REF!</v>
      </c>
      <c r="F18" s="15" t="e" vm="1">
        <f>-[1]!'@CTA[609-001-000, D]{0225}'</f>
        <v>#REF!</v>
      </c>
      <c r="G18" s="15" t="e" vm="1">
        <f>-[1]!'@CTA[609-001-000, D]{0325}'</f>
        <v>#REF!</v>
      </c>
      <c r="H18" s="15" t="e" vm="1">
        <f>-[1]!'@CTA[609-001-000, D]{0425}'</f>
        <v>#REF!</v>
      </c>
      <c r="I18" s="15" t="e" vm="1">
        <f>-[1]!'@CTA[609-001-000, D]{0525}'</f>
        <v>#REF!</v>
      </c>
      <c r="J18" s="15" t="e" vm="1">
        <f>-[1]!'@CTA[609-001-000, D]{0625}'</f>
        <v>#REF!</v>
      </c>
      <c r="K18" s="15" t="e" vm="1">
        <f>-[1]!'@CTA[609-001-000, D]{0725}'</f>
        <v>#REF!</v>
      </c>
      <c r="L18" s="15" t="e" vm="1">
        <f>-[1]!'@CTA[609-001-000, D]{0825}'</f>
        <v>#REF!</v>
      </c>
      <c r="M18" s="15" t="e" vm="1">
        <f>-[1]!'@CTA[609-001-000, D]{0925}'</f>
        <v>#REF!</v>
      </c>
      <c r="N18" s="15" t="e" vm="1">
        <f>-[1]!'@CTA[609-001-000, D]{1025}'</f>
        <v>#REF!</v>
      </c>
      <c r="O18" s="15" t="e" vm="1">
        <f>-[1]!'@CTA[609-001-000, D]{1125}'</f>
        <v>#REF!</v>
      </c>
      <c r="P18" s="15" t="e" vm="1">
        <f>-[1]!'@CTA[609-001-000, D]{1225}'</f>
        <v>#REF!</v>
      </c>
      <c r="Q18" s="1" t="s">
        <v>1096</v>
      </c>
    </row>
    <row r="19" spans="2:22" x14ac:dyDescent="0.25">
      <c r="B19" s="54"/>
      <c r="C19" s="20"/>
      <c r="D19" s="18" t="s">
        <v>29</v>
      </c>
      <c r="E19" s="19" t="e" vm="2">
        <f t="shared" ref="E19:P19" si="1">SUM(E12:E18)</f>
        <v>#VALUE!</v>
      </c>
      <c r="F19" s="19" t="e" vm="2">
        <f t="shared" si="1"/>
        <v>#VALUE!</v>
      </c>
      <c r="G19" s="19" t="e" vm="2">
        <f t="shared" si="1"/>
        <v>#VALUE!</v>
      </c>
      <c r="H19" s="19" t="e" vm="2">
        <f t="shared" si="1"/>
        <v>#VALUE!</v>
      </c>
      <c r="I19" s="19" t="e" vm="2">
        <f t="shared" si="1"/>
        <v>#VALUE!</v>
      </c>
      <c r="J19" s="19" t="e" vm="2">
        <f t="shared" si="1"/>
        <v>#VALUE!</v>
      </c>
      <c r="K19" s="19" t="e" vm="2">
        <f t="shared" si="1"/>
        <v>#VALUE!</v>
      </c>
      <c r="L19" s="19" t="e" vm="2">
        <f t="shared" si="1"/>
        <v>#VALUE!</v>
      </c>
      <c r="M19" s="19" t="e" vm="2">
        <f t="shared" si="1"/>
        <v>#VALUE!</v>
      </c>
      <c r="N19" s="19" t="e" vm="2">
        <f t="shared" si="1"/>
        <v>#VALUE!</v>
      </c>
      <c r="O19" s="19" t="e" vm="2">
        <f t="shared" si="1"/>
        <v>#VALUE!</v>
      </c>
      <c r="P19" s="19" t="e" vm="2">
        <f t="shared" si="1"/>
        <v>#VALUE!</v>
      </c>
      <c r="Q19" s="9" t="s">
        <v>20</v>
      </c>
    </row>
    <row r="20" spans="2:22" x14ac:dyDescent="0.25">
      <c r="B20" s="54"/>
      <c r="C20" s="17"/>
      <c r="D20" s="2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2:22" x14ac:dyDescent="0.25">
      <c r="B21" s="54"/>
      <c r="C21" s="22" t="s">
        <v>30</v>
      </c>
      <c r="D21" s="23" t="s">
        <v>31</v>
      </c>
      <c r="E21" s="24" t="e" vm="2">
        <f t="shared" ref="E21:P21" si="2">+E10+E19</f>
        <v>#VALUE!</v>
      </c>
      <c r="F21" s="24" t="e" vm="2">
        <f t="shared" si="2"/>
        <v>#VALUE!</v>
      </c>
      <c r="G21" s="24" t="e" vm="2">
        <f t="shared" si="2"/>
        <v>#VALUE!</v>
      </c>
      <c r="H21" s="24" t="e" vm="2">
        <f t="shared" si="2"/>
        <v>#VALUE!</v>
      </c>
      <c r="I21" s="24" t="e" vm="2">
        <f t="shared" si="2"/>
        <v>#VALUE!</v>
      </c>
      <c r="J21" s="24" t="e" vm="2">
        <f t="shared" si="2"/>
        <v>#VALUE!</v>
      </c>
      <c r="K21" s="24" t="e" vm="2">
        <f t="shared" si="2"/>
        <v>#VALUE!</v>
      </c>
      <c r="L21" s="24" t="e" vm="2">
        <f t="shared" si="2"/>
        <v>#VALUE!</v>
      </c>
      <c r="M21" s="24" t="e" vm="2">
        <f t="shared" si="2"/>
        <v>#VALUE!</v>
      </c>
      <c r="N21" s="24" t="e" vm="2">
        <f t="shared" si="2"/>
        <v>#VALUE!</v>
      </c>
      <c r="O21" s="24" t="e" vm="2">
        <f t="shared" si="2"/>
        <v>#VALUE!</v>
      </c>
      <c r="P21" s="24" t="e" vm="2">
        <f t="shared" si="2"/>
        <v>#VALUE!</v>
      </c>
      <c r="Q21" s="9" t="s">
        <v>20</v>
      </c>
    </row>
    <row r="22" spans="2:22" x14ac:dyDescent="0.25">
      <c r="B22" s="46" t="s">
        <v>32</v>
      </c>
      <c r="C22" s="10"/>
      <c r="D22" s="25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pans="2:22" x14ac:dyDescent="0.25">
      <c r="B23" s="47"/>
      <c r="C23" s="17" t="s">
        <v>21</v>
      </c>
      <c r="D23" s="27" t="s">
        <v>33</v>
      </c>
      <c r="E23" s="19" t="e" vm="2">
        <f t="shared" ref="E23:P23" si="3">SUM(E24:E26)</f>
        <v>#VALUE!</v>
      </c>
      <c r="F23" s="19" t="e" vm="2">
        <f t="shared" si="3"/>
        <v>#VALUE!</v>
      </c>
      <c r="G23" s="19" t="e" vm="2">
        <f t="shared" si="3"/>
        <v>#VALUE!</v>
      </c>
      <c r="H23" s="19" t="e" vm="2">
        <f t="shared" si="3"/>
        <v>#VALUE!</v>
      </c>
      <c r="I23" s="19" t="e" vm="2">
        <f t="shared" si="3"/>
        <v>#VALUE!</v>
      </c>
      <c r="J23" s="19" t="e" vm="2">
        <f t="shared" si="3"/>
        <v>#VALUE!</v>
      </c>
      <c r="K23" s="19" t="e" vm="2">
        <f t="shared" si="3"/>
        <v>#VALUE!</v>
      </c>
      <c r="L23" s="19" t="e" vm="2">
        <f t="shared" si="3"/>
        <v>#VALUE!</v>
      </c>
      <c r="M23" s="19" t="e" vm="2">
        <f t="shared" si="3"/>
        <v>#VALUE!</v>
      </c>
      <c r="N23" s="19" t="e" vm="2">
        <f t="shared" si="3"/>
        <v>#VALUE!</v>
      </c>
      <c r="O23" s="19" t="e" vm="2">
        <f t="shared" si="3"/>
        <v>#VALUE!</v>
      </c>
      <c r="P23" s="19" t="e" vm="2">
        <f t="shared" si="3"/>
        <v>#VALUE!</v>
      </c>
      <c r="Q23" s="9" t="s">
        <v>20</v>
      </c>
    </row>
    <row r="24" spans="2:22" outlineLevel="1" x14ac:dyDescent="0.25">
      <c r="B24" s="47"/>
      <c r="C24" s="13"/>
      <c r="D24" s="3" t="s">
        <v>34</v>
      </c>
      <c r="E24" s="12" t="e" vm="1">
        <f>-[1]!'@CTA[201-000-000, F]{0125}'</f>
        <v>#REF!</v>
      </c>
      <c r="F24" s="12" t="e" vm="1">
        <f>-[1]!'@CTA[201-000-000, F]{0225}'</f>
        <v>#REF!</v>
      </c>
      <c r="G24" s="12" t="e" vm="1">
        <f>-[1]!'@CTA[201-000-000, F]{0325}'</f>
        <v>#REF!</v>
      </c>
      <c r="H24" s="12" t="e" vm="1">
        <f>-[1]!'@CTA[201-000-000, F]{0425}'</f>
        <v>#REF!</v>
      </c>
      <c r="I24" s="12" t="e" vm="1">
        <f>-[1]!'@CTA[201-000-000, F]{0525}'</f>
        <v>#REF!</v>
      </c>
      <c r="J24" s="12" t="e" vm="1">
        <f>-[1]!'@CTA[201-000-000, F]{0625}'</f>
        <v>#REF!</v>
      </c>
      <c r="K24" s="12" t="e" vm="1">
        <f>-[1]!'@CTA[201-000-000, F]{0725}'</f>
        <v>#REF!</v>
      </c>
      <c r="L24" s="12" t="e" vm="1">
        <f>-[1]!'@CTA[201-000-000, F]{0825}'</f>
        <v>#REF!</v>
      </c>
      <c r="M24" s="12" t="e" vm="1">
        <f>-[1]!'@CTA[201-000-000, F]{0925}'</f>
        <v>#REF!</v>
      </c>
      <c r="N24" s="12" t="e" vm="1">
        <f>-[1]!'@CTA[201-000-000, F]{1025}'</f>
        <v>#REF!</v>
      </c>
      <c r="O24" s="12" t="e" vm="1">
        <f>-[1]!'@CTA[201-000-000, F]{1125}'</f>
        <v>#REF!</v>
      </c>
      <c r="P24" s="12" t="e" vm="1">
        <f>-[1]!'@CTA[201-000-000, F]{1225}'</f>
        <v>#REF!</v>
      </c>
      <c r="Q24" s="1" t="s">
        <v>1096</v>
      </c>
    </row>
    <row r="25" spans="2:22" outlineLevel="1" x14ac:dyDescent="0.25">
      <c r="B25" s="47"/>
      <c r="C25" s="13"/>
      <c r="D25" s="3" t="s">
        <v>35</v>
      </c>
      <c r="E25" s="12" t="e" vm="1">
        <f>-[1]!'@CTA[204-001-000, F]{0125}'</f>
        <v>#REF!</v>
      </c>
      <c r="F25" s="12" t="e" vm="1">
        <f>-[1]!'@CTA[204-001-000, F]{0225}'</f>
        <v>#REF!</v>
      </c>
      <c r="G25" s="12" t="e" vm="1">
        <f>-[1]!'@CTA[204-001-000, F]{0325}'</f>
        <v>#REF!</v>
      </c>
      <c r="H25" s="12" t="e" vm="1">
        <f>-[1]!'@CTA[204-001-000, F]{0425}'</f>
        <v>#REF!</v>
      </c>
      <c r="I25" s="12" t="e" vm="1">
        <f>-[1]!'@CTA[204-001-000, F]{0525}'</f>
        <v>#REF!</v>
      </c>
      <c r="J25" s="12" t="e" vm="1">
        <f>-[1]!'@CTA[204-001-000, F]{0625}'</f>
        <v>#REF!</v>
      </c>
      <c r="K25" s="12" t="e" vm="1">
        <f>-[1]!'@CTA[204-001-000, F]{0725}'</f>
        <v>#REF!</v>
      </c>
      <c r="L25" s="12" t="e" vm="1">
        <f>-[1]!'@CTA[204-001-000, F]{0825}'</f>
        <v>#REF!</v>
      </c>
      <c r="M25" s="12" t="e" vm="1">
        <f>-[1]!'@CTA[204-001-000, F]{0925}'</f>
        <v>#REF!</v>
      </c>
      <c r="N25" s="12" t="e" vm="1">
        <f>-[1]!'@CTA[204-001-000, F]{1025}'</f>
        <v>#REF!</v>
      </c>
      <c r="O25" s="12" t="e" vm="1">
        <f>-[1]!'@CTA[204-001-000, F]{1125}'</f>
        <v>#REF!</v>
      </c>
      <c r="P25" s="12" t="e" vm="1">
        <f>-[1]!'@CTA[204-001-000, F]{1225}'</f>
        <v>#REF!</v>
      </c>
      <c r="Q25" s="1" t="s">
        <v>1096</v>
      </c>
    </row>
    <row r="26" spans="2:22" outlineLevel="1" x14ac:dyDescent="0.25">
      <c r="B26" s="47"/>
      <c r="C26" s="13"/>
      <c r="D26" s="3" t="s">
        <v>36</v>
      </c>
      <c r="E26" s="12" t="e" vm="1">
        <f>-[1]!'@CTA[205-000-000, F]{0125}'-[1]!'@CTA[206-000-000, F]{0125}'-[1]!'@CTA[207-000-000, F]{0125}'</f>
        <v>#REF!</v>
      </c>
      <c r="F26" s="12" t="e" vm="1">
        <f>-[1]!'@CTA[205-000-000, F]{0225}'-[1]!'@CTA[206-000-000, F]{0225}'-[1]!'@CTA[207-000-000, F]{0225}'</f>
        <v>#REF!</v>
      </c>
      <c r="G26" s="12" t="e" vm="1">
        <f>-[1]!'@CTA[205-000-000, F]{0325}'-[1]!'@CTA[206-000-000, F]{0325}'-[1]!'@CTA[207-000-000, F]{0325}'</f>
        <v>#REF!</v>
      </c>
      <c r="H26" s="12" t="e" vm="1">
        <f>-[1]!'@CTA[205-000-000, F]{0425}'-[1]!'@CTA[206-000-000, F]{0425}'-[1]!'@CTA[207-000-000, F]{0425}'</f>
        <v>#REF!</v>
      </c>
      <c r="I26" s="12" t="e" vm="1">
        <f>-[1]!'@CTA[205-000-000, F]{0525}'-[1]!'@CTA[206-000-000, F]{0525}'-[1]!'@CTA[207-000-000, F]{0525}'</f>
        <v>#REF!</v>
      </c>
      <c r="J26" s="12" t="e" vm="1">
        <f>-[1]!'@CTA[205-000-000, F]{0625}'-[1]!'@CTA[206-000-000, F]{0625}'-[1]!'@CTA[207-000-000, F]{0625}'</f>
        <v>#REF!</v>
      </c>
      <c r="K26" s="12" t="e" vm="1">
        <f>-[1]!'@CTA[205-000-000, F]{0725}'-[1]!'@CTA[206-000-000, F]{0725}'-[1]!'@CTA[207-000-000, F]{0725}'</f>
        <v>#REF!</v>
      </c>
      <c r="L26" s="12" t="e" vm="1">
        <f>-[1]!'@CTA[205-000-000, F]{0825}'-[1]!'@CTA[206-000-000, F]{0825}'-[1]!'@CTA[207-000-000, F]{0825}'</f>
        <v>#REF!</v>
      </c>
      <c r="M26" s="12" t="e" vm="1">
        <f>-[1]!'@CTA[205-000-000, F]{0925}'-[1]!'@CTA[206-000-000, F]{0925}'-[1]!'@CTA[207-000-000, F]{0925}'</f>
        <v>#REF!</v>
      </c>
      <c r="N26" s="12" t="e" vm="1">
        <f>-[1]!'@CTA[205-000-000, F]{1025}'-[1]!'@CTA[206-000-000, F]{1025}'-[1]!'@CTA[207-000-000, F]{1025}'</f>
        <v>#REF!</v>
      </c>
      <c r="O26" s="12" t="e" vm="1">
        <f>-[1]!'@CTA[205-000-000, F]{1125}'-[1]!'@CTA[206-000-000, F]{1125}'-[1]!'@CTA[207-000-000, F]{1125}'</f>
        <v>#REF!</v>
      </c>
      <c r="P26" s="12" t="e" vm="1">
        <f>-[1]!'@CTA[205-000-000, F]{1225}'-[1]!'@CTA[206-000-000, F]{1225}'-[1]!'@CTA[207-000-000, F]{1225}'</f>
        <v>#REF!</v>
      </c>
      <c r="Q26" s="1" t="s">
        <v>1096</v>
      </c>
    </row>
    <row r="27" spans="2:22" x14ac:dyDescent="0.25">
      <c r="B27" s="47"/>
      <c r="C27" s="13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" t="s">
        <v>1096</v>
      </c>
    </row>
    <row r="28" spans="2:22" x14ac:dyDescent="0.25">
      <c r="B28" s="47"/>
      <c r="C28" s="17"/>
      <c r="D28" s="29" t="s">
        <v>37</v>
      </c>
      <c r="E28" s="30" t="e" vm="2">
        <f t="shared" ref="E28:P28" si="4">+E21+E23</f>
        <v>#VALUE!</v>
      </c>
      <c r="F28" s="30" t="e" vm="2">
        <f t="shared" si="4"/>
        <v>#VALUE!</v>
      </c>
      <c r="G28" s="30" t="e" vm="2">
        <f t="shared" si="4"/>
        <v>#VALUE!</v>
      </c>
      <c r="H28" s="30" t="e" vm="2">
        <f t="shared" si="4"/>
        <v>#VALUE!</v>
      </c>
      <c r="I28" s="30" t="e" vm="2">
        <f t="shared" si="4"/>
        <v>#VALUE!</v>
      </c>
      <c r="J28" s="30" t="e" vm="2">
        <f t="shared" si="4"/>
        <v>#VALUE!</v>
      </c>
      <c r="K28" s="30" t="e" vm="2">
        <f t="shared" si="4"/>
        <v>#VALUE!</v>
      </c>
      <c r="L28" s="30" t="e" vm="2">
        <f t="shared" si="4"/>
        <v>#VALUE!</v>
      </c>
      <c r="M28" s="30" t="e" vm="2">
        <f t="shared" si="4"/>
        <v>#VALUE!</v>
      </c>
      <c r="N28" s="30" t="e" vm="2">
        <f t="shared" si="4"/>
        <v>#VALUE!</v>
      </c>
      <c r="O28" s="30" t="e" vm="2">
        <f t="shared" si="4"/>
        <v>#VALUE!</v>
      </c>
      <c r="P28" s="30" t="e" vm="2">
        <f t="shared" si="4"/>
        <v>#VALUE!</v>
      </c>
      <c r="Q28" s="9" t="s">
        <v>20</v>
      </c>
    </row>
    <row r="29" spans="2:22" x14ac:dyDescent="0.25">
      <c r="B29" s="47"/>
      <c r="C29" s="13"/>
      <c r="D29" s="3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22" x14ac:dyDescent="0.25">
      <c r="B30" s="47"/>
      <c r="C30" s="13" t="s">
        <v>17</v>
      </c>
      <c r="D30" s="32" t="s">
        <v>38</v>
      </c>
      <c r="E30" s="42" t="e" vm="1">
        <f>[1]!'@CTA[104-000-000, F]{0125}'-E31</f>
        <v>#REF!</v>
      </c>
      <c r="F30" s="12" t="e" vm="1">
        <f>[1]!'@CTA[104-000-000, F]{0225}'-F31</f>
        <v>#REF!</v>
      </c>
      <c r="G30" s="12" t="e" vm="1">
        <f>[1]!'@CTA[104-000-000, F]{0325}'-G31</f>
        <v>#REF!</v>
      </c>
      <c r="H30" s="12" t="e" vm="1">
        <f>[1]!'@CTA[104-000-000, F]{0425}'-H31</f>
        <v>#REF!</v>
      </c>
      <c r="I30" s="12" t="e" vm="1">
        <f>[1]!'@CTA[104-000-000, F]{0525}'-I31</f>
        <v>#REF!</v>
      </c>
      <c r="J30" s="12" t="e" vm="1">
        <f>[1]!'@CTA[104-000-000, F]{0625}'-J31</f>
        <v>#REF!</v>
      </c>
      <c r="K30" s="12" t="e" vm="1">
        <f>[1]!'@CTA[104-000-000, F]{0725}'-K31</f>
        <v>#REF!</v>
      </c>
      <c r="L30" s="12" t="e" vm="1">
        <f>[1]!'@CTA[104-000-000, F]{0825}'-L31</f>
        <v>#REF!</v>
      </c>
      <c r="M30" s="12" t="e" vm="1">
        <f>[1]!'@CTA[104-000-000, F]{0925}'-M31</f>
        <v>#REF!</v>
      </c>
      <c r="N30" s="12" t="e" vm="1">
        <f>[1]!'@CTA[104-000-000, F]{1025}'-N31</f>
        <v>#REF!</v>
      </c>
      <c r="O30" s="12" t="e" vm="1">
        <f>[1]!'@CTA[104-000-000, F]{1125}'-O31</f>
        <v>#REF!</v>
      </c>
      <c r="P30" s="12" t="e" vm="1">
        <f>[1]!'@CTA[104-000-000, F]{1225}'-P31</f>
        <v>#REF!</v>
      </c>
      <c r="Q30" s="1" t="s">
        <v>1096</v>
      </c>
      <c r="R30" s="16"/>
    </row>
    <row r="31" spans="2:22" x14ac:dyDescent="0.25">
      <c r="B31" s="47"/>
      <c r="C31" s="13" t="s">
        <v>21</v>
      </c>
      <c r="D31" s="32" t="s">
        <v>39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R31" s="16" t="s">
        <v>18</v>
      </c>
    </row>
    <row r="32" spans="2:22" x14ac:dyDescent="0.25">
      <c r="B32" s="47"/>
      <c r="C32" s="13"/>
      <c r="D32" s="29" t="s">
        <v>40</v>
      </c>
      <c r="E32" s="33" t="e" vm="2">
        <f t="shared" ref="E32:P32" si="5">+E30</f>
        <v>#VALUE!</v>
      </c>
      <c r="F32" s="33" t="e" vm="2">
        <f t="shared" si="5"/>
        <v>#VALUE!</v>
      </c>
      <c r="G32" s="33" t="e" vm="2">
        <f t="shared" si="5"/>
        <v>#VALUE!</v>
      </c>
      <c r="H32" s="33" t="e" vm="2">
        <f t="shared" si="5"/>
        <v>#VALUE!</v>
      </c>
      <c r="I32" s="33" t="e" vm="2">
        <f t="shared" si="5"/>
        <v>#VALUE!</v>
      </c>
      <c r="J32" s="33" t="e" vm="2">
        <f t="shared" si="5"/>
        <v>#VALUE!</v>
      </c>
      <c r="K32" s="33" t="e" vm="2">
        <f t="shared" si="5"/>
        <v>#VALUE!</v>
      </c>
      <c r="L32" s="33" t="e" vm="2">
        <f t="shared" si="5"/>
        <v>#VALUE!</v>
      </c>
      <c r="M32" s="33" t="e" vm="2">
        <f t="shared" si="5"/>
        <v>#VALUE!</v>
      </c>
      <c r="N32" s="33" t="e" vm="2">
        <f t="shared" si="5"/>
        <v>#VALUE!</v>
      </c>
      <c r="O32" s="33" t="e" vm="2">
        <f t="shared" si="5"/>
        <v>#VALUE!</v>
      </c>
      <c r="P32" s="33" t="e" vm="2">
        <f t="shared" si="5"/>
        <v>#VALUE!</v>
      </c>
      <c r="Q32" s="9" t="s">
        <v>20</v>
      </c>
    </row>
    <row r="33" spans="2:18" x14ac:dyDescent="0.25">
      <c r="B33" s="47"/>
      <c r="C33" s="20"/>
      <c r="D33" s="29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2:18" s="37" customFormat="1" x14ac:dyDescent="0.25">
      <c r="B34" s="48"/>
      <c r="C34" s="34"/>
      <c r="D34" s="35" t="s">
        <v>41</v>
      </c>
      <c r="E34" s="36" t="e" vm="2">
        <f t="shared" ref="E34:P34" si="6">+E28+E32</f>
        <v>#VALUE!</v>
      </c>
      <c r="F34" s="36" t="e" vm="2">
        <f t="shared" si="6"/>
        <v>#VALUE!</v>
      </c>
      <c r="G34" s="36" t="e" vm="2">
        <f t="shared" si="6"/>
        <v>#VALUE!</v>
      </c>
      <c r="H34" s="36" t="e" vm="2">
        <f t="shared" si="6"/>
        <v>#VALUE!</v>
      </c>
      <c r="I34" s="36" t="e" vm="2">
        <f t="shared" si="6"/>
        <v>#VALUE!</v>
      </c>
      <c r="J34" s="36" t="e" vm="2">
        <f t="shared" si="6"/>
        <v>#VALUE!</v>
      </c>
      <c r="K34" s="36" t="e" vm="2">
        <f t="shared" si="6"/>
        <v>#VALUE!</v>
      </c>
      <c r="L34" s="36" t="e" vm="2">
        <f t="shared" si="6"/>
        <v>#VALUE!</v>
      </c>
      <c r="M34" s="36" t="e" vm="2">
        <f t="shared" si="6"/>
        <v>#VALUE!</v>
      </c>
      <c r="N34" s="36" t="e" vm="2">
        <f t="shared" si="6"/>
        <v>#VALUE!</v>
      </c>
      <c r="O34" s="36" t="e" vm="2">
        <f t="shared" si="6"/>
        <v>#VALUE!</v>
      </c>
      <c r="P34" s="36" t="e" vm="2">
        <f t="shared" si="6"/>
        <v>#VALUE!</v>
      </c>
      <c r="R34" s="5"/>
    </row>
    <row r="35" spans="2:18" ht="26.25" x14ac:dyDescent="0.55000000000000004">
      <c r="D35" s="38"/>
    </row>
    <row r="36" spans="2:18" x14ac:dyDescent="0.25">
      <c r="C36" s="49" t="s">
        <v>42</v>
      </c>
      <c r="D36" s="3" t="s">
        <v>43</v>
      </c>
      <c r="E36" s="4" t="e" vm="1">
        <f>[1]!'@CTA[103-000-000, I]{0125}'</f>
        <v>#REF!</v>
      </c>
      <c r="F36" s="4" t="e" vm="1">
        <f>[1]!'@CTA[103-000-000, I]{0225}'</f>
        <v>#REF!</v>
      </c>
      <c r="G36" s="4" t="e" vm="1">
        <f>[1]!'@CTA[103-000-000, I]{0325}'</f>
        <v>#REF!</v>
      </c>
      <c r="H36" s="4" t="e" vm="1">
        <f>[1]!'@CTA[103-000-000, I]{0425}'</f>
        <v>#REF!</v>
      </c>
      <c r="I36" s="4" t="e" vm="1">
        <f>[1]!'@CTA[103-000-000, I]{0525}'</f>
        <v>#REF!</v>
      </c>
      <c r="J36" s="4" t="e" vm="1">
        <f>[1]!'@CTA[103-000-000, I]{0625}'</f>
        <v>#REF!</v>
      </c>
      <c r="K36" s="4" t="e" vm="1">
        <f>[1]!'@CTA[103-000-000, I]{0725}'</f>
        <v>#REF!</v>
      </c>
      <c r="L36" s="4" t="e" vm="1">
        <f>[1]!'@CTA[103-000-000, I]{0825}'</f>
        <v>#REF!</v>
      </c>
      <c r="M36" s="4" t="e" vm="1">
        <f>[1]!'@CTA[103-000-000, I]{0925}'</f>
        <v>#REF!</v>
      </c>
      <c r="N36" s="4" t="e" vm="1">
        <f>[1]!'@CTA[103-000-000, I]{1025}'</f>
        <v>#REF!</v>
      </c>
      <c r="O36" s="4" t="e" vm="1">
        <f>[1]!'@CTA[103-000-000, I]{1125}'</f>
        <v>#REF!</v>
      </c>
      <c r="P36" s="4" t="e" vm="1">
        <f>[1]!'@CTA[103-000-000, I]{1225}'</f>
        <v>#REF!</v>
      </c>
      <c r="Q36" s="1" t="s">
        <v>16</v>
      </c>
      <c r="R36" s="16"/>
    </row>
    <row r="37" spans="2:18" x14ac:dyDescent="0.25">
      <c r="C37" s="50"/>
      <c r="D37" s="3" t="s">
        <v>47</v>
      </c>
      <c r="E37" s="4" t="e" vm="2">
        <f t="shared" ref="E37:P37" si="7">-E9</f>
        <v>#VALUE!</v>
      </c>
      <c r="F37" s="4" t="e" vm="2">
        <f t="shared" si="7"/>
        <v>#VALUE!</v>
      </c>
      <c r="G37" s="4" t="e" vm="2">
        <f t="shared" si="7"/>
        <v>#VALUE!</v>
      </c>
      <c r="H37" s="4" t="e" vm="2">
        <f t="shared" si="7"/>
        <v>#VALUE!</v>
      </c>
      <c r="I37" s="4" t="e" vm="2">
        <f t="shared" si="7"/>
        <v>#VALUE!</v>
      </c>
      <c r="J37" s="4" t="e" vm="2">
        <f t="shared" si="7"/>
        <v>#VALUE!</v>
      </c>
      <c r="K37" s="4" t="e" vm="2">
        <f t="shared" si="7"/>
        <v>#VALUE!</v>
      </c>
      <c r="L37" s="4" t="e" vm="2">
        <f t="shared" si="7"/>
        <v>#VALUE!</v>
      </c>
      <c r="M37" s="4" t="e" vm="2">
        <f t="shared" si="7"/>
        <v>#VALUE!</v>
      </c>
      <c r="N37" s="4" t="e" vm="2">
        <f t="shared" si="7"/>
        <v>#VALUE!</v>
      </c>
      <c r="O37" s="4" t="e" vm="2">
        <f t="shared" si="7"/>
        <v>#VALUE!</v>
      </c>
      <c r="P37" s="4" t="e" vm="2">
        <f t="shared" si="7"/>
        <v>#VALUE!</v>
      </c>
      <c r="Q37" s="9" t="s">
        <v>20</v>
      </c>
      <c r="R37" s="16"/>
    </row>
    <row r="38" spans="2:18" x14ac:dyDescent="0.25">
      <c r="C38" s="50"/>
      <c r="D38" s="3" t="s">
        <v>27</v>
      </c>
      <c r="E38" s="4">
        <f t="shared" ref="E38:P38" si="8">-E17</f>
        <v>0</v>
      </c>
      <c r="F38" s="4">
        <f t="shared" si="8"/>
        <v>0</v>
      </c>
      <c r="G38" s="4">
        <f t="shared" si="8"/>
        <v>0</v>
      </c>
      <c r="H38" s="4">
        <f t="shared" si="8"/>
        <v>0</v>
      </c>
      <c r="I38" s="4">
        <f t="shared" si="8"/>
        <v>0</v>
      </c>
      <c r="J38" s="4">
        <f t="shared" si="8"/>
        <v>0</v>
      </c>
      <c r="K38" s="4">
        <f t="shared" si="8"/>
        <v>0</v>
      </c>
      <c r="L38" s="4">
        <f t="shared" si="8"/>
        <v>0</v>
      </c>
      <c r="M38" s="4">
        <f t="shared" si="8"/>
        <v>0</v>
      </c>
      <c r="N38" s="4">
        <f t="shared" si="8"/>
        <v>0</v>
      </c>
      <c r="O38" s="4">
        <f t="shared" si="8"/>
        <v>0</v>
      </c>
      <c r="P38" s="4">
        <f t="shared" si="8"/>
        <v>0</v>
      </c>
      <c r="Q38" s="9" t="s">
        <v>20</v>
      </c>
      <c r="R38" s="16"/>
    </row>
    <row r="39" spans="2:18" x14ac:dyDescent="0.25">
      <c r="C39" s="50"/>
      <c r="D39" s="3" t="s">
        <v>44</v>
      </c>
      <c r="E39" s="4" t="e" vm="1">
        <f>[1]!'@CTA[403-000-000, H]{0125}'</f>
        <v>#REF!</v>
      </c>
      <c r="F39" s="4" t="e" vm="1">
        <f>[1]!'@CTA[403-000-000, H]{0225}'</f>
        <v>#REF!</v>
      </c>
      <c r="G39" s="4" t="e" vm="1">
        <f>[1]!'@CTA[403-000-000, H]{0325}'</f>
        <v>#REF!</v>
      </c>
      <c r="H39" s="4" t="e" vm="1">
        <f>[1]!'@CTA[403-000-000, H]{0425}'</f>
        <v>#REF!</v>
      </c>
      <c r="I39" s="4" t="e" vm="1">
        <f>[1]!'@CTA[403-000-000, H]{0525}'</f>
        <v>#REF!</v>
      </c>
      <c r="J39" s="4" t="e" vm="1">
        <f>[1]!'@CTA[403-000-000, H]{0625}'</f>
        <v>#REF!</v>
      </c>
      <c r="K39" s="4" t="e" vm="1">
        <f>[1]!'@CTA[403-000-000, H]{0725}'</f>
        <v>#REF!</v>
      </c>
      <c r="L39" s="4" t="e" vm="1">
        <f>[1]!'@CTA[403-000-000, H]{0825}'</f>
        <v>#REF!</v>
      </c>
      <c r="M39" s="4" t="e" vm="1">
        <f>[1]!'@CTA[403-000-000, H]{0925}'</f>
        <v>#REF!</v>
      </c>
      <c r="N39" s="4" t="e" vm="1">
        <f>[1]!'@CTA[403-000-000, H]{1025}'</f>
        <v>#REF!</v>
      </c>
      <c r="O39" s="4" t="e" vm="1">
        <f>[1]!'@CTA[403-000-000, H]{1125}'</f>
        <v>#REF!</v>
      </c>
      <c r="P39" s="4" t="e" vm="1">
        <f>[1]!'@CTA[403-000-000, H]{1225}'</f>
        <v>#REF!</v>
      </c>
      <c r="Q39" s="1" t="s">
        <v>16</v>
      </c>
    </row>
    <row r="40" spans="2:18" s="39" customFormat="1" ht="20.25" thickBot="1" x14ac:dyDescent="0.3">
      <c r="C40" s="51"/>
      <c r="D40" s="40" t="s">
        <v>45</v>
      </c>
      <c r="E40" s="41" t="e" vm="2">
        <f>SUM(E36:E39)</f>
        <v>#VALUE!</v>
      </c>
      <c r="F40" s="41" t="e" vm="2">
        <f t="shared" ref="F40:P40" si="9">SUM(F36:F39)</f>
        <v>#VALUE!</v>
      </c>
      <c r="G40" s="41" t="e" vm="2">
        <f t="shared" si="9"/>
        <v>#VALUE!</v>
      </c>
      <c r="H40" s="41" t="e" vm="2">
        <f t="shared" si="9"/>
        <v>#VALUE!</v>
      </c>
      <c r="I40" s="41" t="e" vm="2">
        <f t="shared" si="9"/>
        <v>#VALUE!</v>
      </c>
      <c r="J40" s="41" t="e" vm="2">
        <f t="shared" si="9"/>
        <v>#VALUE!</v>
      </c>
      <c r="K40" s="41" t="e" vm="2">
        <f t="shared" si="9"/>
        <v>#VALUE!</v>
      </c>
      <c r="L40" s="41" t="e" vm="2">
        <f t="shared" si="9"/>
        <v>#VALUE!</v>
      </c>
      <c r="M40" s="41" t="e" vm="2">
        <f t="shared" si="9"/>
        <v>#VALUE!</v>
      </c>
      <c r="N40" s="41" t="e" vm="2">
        <f t="shared" si="9"/>
        <v>#VALUE!</v>
      </c>
      <c r="O40" s="41" t="e" vm="2">
        <f t="shared" si="9"/>
        <v>#VALUE!</v>
      </c>
      <c r="P40" s="41" t="e" vm="2">
        <f t="shared" si="9"/>
        <v>#VALUE!</v>
      </c>
      <c r="Q40" s="9" t="s">
        <v>20</v>
      </c>
      <c r="R40" s="5"/>
    </row>
    <row r="41" spans="2:18" ht="20.25" thickTop="1" x14ac:dyDescent="0.25"/>
  </sheetData>
  <protectedRanges>
    <protectedRange sqref="F14:P14 F17:P17" name="Rango2_1"/>
    <protectedRange sqref="E9:P9 E36:P38 E30:P31" name="Rango1_1"/>
  </protectedRanges>
  <mergeCells count="5">
    <mergeCell ref="B22:B34"/>
    <mergeCell ref="C36:C40"/>
    <mergeCell ref="D2:F2"/>
    <mergeCell ref="C3:D3"/>
    <mergeCell ref="B4:B21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DE78-245C-427B-B45A-36D59316AE1A}">
  <dimension ref="A1:F534"/>
  <sheetViews>
    <sheetView topLeftCell="A252" workbookViewId="0">
      <selection activeCell="A270" sqref="A270:XFD271"/>
    </sheetView>
  </sheetViews>
  <sheetFormatPr baseColWidth="10" defaultRowHeight="15" x14ac:dyDescent="0.25"/>
  <cols>
    <col min="1" max="1" width="15.5703125" customWidth="1"/>
    <col min="2" max="2" width="45.85546875" customWidth="1"/>
    <col min="3" max="3" width="23.42578125" customWidth="1"/>
    <col min="4" max="4" width="19.5703125" customWidth="1"/>
    <col min="5" max="5" width="24.140625" customWidth="1"/>
    <col min="6" max="6" width="21.28515625" customWidth="1"/>
  </cols>
  <sheetData>
    <row r="1" spans="1:6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5">
      <c r="A2" t="s">
        <v>56</v>
      </c>
      <c r="B2" t="s">
        <v>57</v>
      </c>
      <c r="C2" s="43">
        <v>24938.23</v>
      </c>
      <c r="D2" s="43">
        <v>20995.5</v>
      </c>
      <c r="E2" s="43">
        <v>21300.15</v>
      </c>
      <c r="F2" s="43">
        <v>24633.58</v>
      </c>
    </row>
    <row r="3" spans="1:6" x14ac:dyDescent="0.25">
      <c r="A3" t="s">
        <v>58</v>
      </c>
      <c r="B3" t="s">
        <v>59</v>
      </c>
      <c r="C3" s="43">
        <v>24938.23</v>
      </c>
      <c r="D3" s="43">
        <v>20995.5</v>
      </c>
      <c r="E3" s="43">
        <v>21300.15</v>
      </c>
      <c r="F3" s="43">
        <v>24633.58</v>
      </c>
    </row>
    <row r="4" spans="1:6" x14ac:dyDescent="0.25">
      <c r="A4" t="s">
        <v>60</v>
      </c>
      <c r="B4" t="s">
        <v>1</v>
      </c>
      <c r="C4" s="43">
        <v>225712.31</v>
      </c>
      <c r="D4" s="43">
        <v>7499073.2999999998</v>
      </c>
      <c r="E4" s="43">
        <v>7233688.5099999998</v>
      </c>
      <c r="F4" s="43">
        <v>491097.1</v>
      </c>
    </row>
    <row r="5" spans="1:6" x14ac:dyDescent="0.25">
      <c r="A5" t="s">
        <v>61</v>
      </c>
      <c r="B5" t="s">
        <v>62</v>
      </c>
      <c r="C5" s="43">
        <v>225712.31</v>
      </c>
      <c r="D5" s="43">
        <v>7499073.2999999998</v>
      </c>
      <c r="E5" s="43">
        <v>7233688.5099999998</v>
      </c>
      <c r="F5" s="43">
        <v>491097.1</v>
      </c>
    </row>
    <row r="6" spans="1:6" x14ac:dyDescent="0.25">
      <c r="A6" t="s">
        <v>63</v>
      </c>
      <c r="B6" t="s">
        <v>64</v>
      </c>
      <c r="C6" s="43">
        <v>7610.81</v>
      </c>
      <c r="D6">
        <v>0</v>
      </c>
      <c r="E6">
        <v>0</v>
      </c>
      <c r="F6" s="43">
        <v>7610.81</v>
      </c>
    </row>
    <row r="7" spans="1:6" x14ac:dyDescent="0.25">
      <c r="A7" t="s">
        <v>65</v>
      </c>
      <c r="B7" t="s">
        <v>66</v>
      </c>
      <c r="C7" s="43">
        <v>13016.78</v>
      </c>
      <c r="D7">
        <v>0</v>
      </c>
      <c r="E7">
        <v>0</v>
      </c>
      <c r="F7" s="43">
        <v>13016.78</v>
      </c>
    </row>
    <row r="8" spans="1:6" x14ac:dyDescent="0.25">
      <c r="A8" t="s">
        <v>67</v>
      </c>
      <c r="B8" t="s">
        <v>68</v>
      </c>
      <c r="C8" s="43">
        <v>-7498.82</v>
      </c>
      <c r="D8" s="43">
        <v>5319567.3</v>
      </c>
      <c r="E8" s="43">
        <v>5144741.6900000004</v>
      </c>
      <c r="F8" s="43">
        <v>167326.79</v>
      </c>
    </row>
    <row r="9" spans="1:6" x14ac:dyDescent="0.25">
      <c r="A9" t="s">
        <v>69</v>
      </c>
      <c r="B9" t="s">
        <v>70</v>
      </c>
      <c r="C9" s="43">
        <v>212583.54</v>
      </c>
      <c r="D9" s="43">
        <v>2179506</v>
      </c>
      <c r="E9" s="43">
        <v>2088946.82</v>
      </c>
      <c r="F9" s="43">
        <v>303142.71999999997</v>
      </c>
    </row>
    <row r="10" spans="1:6" x14ac:dyDescent="0.25">
      <c r="A10" t="s">
        <v>71</v>
      </c>
      <c r="B10" t="s">
        <v>72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73</v>
      </c>
      <c r="B11" t="s">
        <v>74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75</v>
      </c>
      <c r="B12" t="s">
        <v>74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76</v>
      </c>
      <c r="B13" t="s">
        <v>77</v>
      </c>
      <c r="C13" s="43">
        <v>11449480.76</v>
      </c>
      <c r="D13" s="43">
        <v>2366229.85</v>
      </c>
      <c r="E13" s="43">
        <v>3955610.4</v>
      </c>
      <c r="F13" s="43">
        <v>9860100.2100000009</v>
      </c>
    </row>
    <row r="14" spans="1:6" x14ac:dyDescent="0.25">
      <c r="A14" t="s">
        <v>78</v>
      </c>
      <c r="B14" t="s">
        <v>79</v>
      </c>
      <c r="C14" s="43">
        <v>11449480.76</v>
      </c>
      <c r="D14" s="43">
        <v>2366229.85</v>
      </c>
      <c r="E14" s="43">
        <v>3955610.4</v>
      </c>
      <c r="F14" s="43">
        <v>9860100.2100000009</v>
      </c>
    </row>
    <row r="15" spans="1:6" x14ac:dyDescent="0.25">
      <c r="A15" t="s">
        <v>80</v>
      </c>
      <c r="B15" t="s">
        <v>81</v>
      </c>
      <c r="C15" s="43">
        <v>8720521.6500000004</v>
      </c>
      <c r="D15" s="43">
        <v>1570277.89</v>
      </c>
      <c r="E15" s="43">
        <v>2704742.25</v>
      </c>
      <c r="F15" s="43">
        <v>7586057.29</v>
      </c>
    </row>
    <row r="16" spans="1:6" x14ac:dyDescent="0.25">
      <c r="A16" t="s">
        <v>82</v>
      </c>
      <c r="B16" t="s">
        <v>83</v>
      </c>
      <c r="C16" s="43">
        <v>2728959.11</v>
      </c>
      <c r="D16" s="43">
        <v>795951.96</v>
      </c>
      <c r="E16" s="43">
        <v>1250868.1499999999</v>
      </c>
      <c r="F16" s="43">
        <v>2274042.92</v>
      </c>
    </row>
    <row r="17" spans="1:6" x14ac:dyDescent="0.25">
      <c r="A17" t="s">
        <v>84</v>
      </c>
      <c r="B17" t="s">
        <v>85</v>
      </c>
      <c r="C17" s="43">
        <v>138188.24</v>
      </c>
      <c r="D17" s="43">
        <v>6234246.8700000001</v>
      </c>
      <c r="E17" s="43">
        <v>6233963.8700000001</v>
      </c>
      <c r="F17" s="43">
        <v>138471.24</v>
      </c>
    </row>
    <row r="18" spans="1:6" x14ac:dyDescent="0.25">
      <c r="A18" t="s">
        <v>86</v>
      </c>
      <c r="B18" t="s">
        <v>87</v>
      </c>
      <c r="C18" s="43">
        <v>52509.42</v>
      </c>
      <c r="D18" s="43">
        <v>2163238.77</v>
      </c>
      <c r="E18" s="43">
        <v>2203304.77</v>
      </c>
      <c r="F18" s="43">
        <v>12443.42</v>
      </c>
    </row>
    <row r="19" spans="1:6" x14ac:dyDescent="0.25">
      <c r="A19" t="s">
        <v>88</v>
      </c>
      <c r="B19" t="s">
        <v>89</v>
      </c>
      <c r="C19" s="43">
        <v>60375.29</v>
      </c>
      <c r="D19" s="43">
        <v>2026639</v>
      </c>
      <c r="E19" s="43">
        <v>2019090</v>
      </c>
      <c r="F19" s="43">
        <v>67924.289999999994</v>
      </c>
    </row>
    <row r="20" spans="1:6" x14ac:dyDescent="0.25">
      <c r="A20" t="s">
        <v>90</v>
      </c>
      <c r="B20" t="s">
        <v>91</v>
      </c>
      <c r="C20" s="43">
        <v>25303.53</v>
      </c>
      <c r="D20" s="43">
        <v>2044369.1</v>
      </c>
      <c r="E20" s="43">
        <v>2011569.1</v>
      </c>
      <c r="F20" s="43">
        <v>58103.53</v>
      </c>
    </row>
    <row r="21" spans="1:6" x14ac:dyDescent="0.25">
      <c r="A21" t="s">
        <v>92</v>
      </c>
      <c r="B21" t="s">
        <v>93</v>
      </c>
      <c r="C21" s="43">
        <v>38500</v>
      </c>
      <c r="D21" s="43">
        <v>30000</v>
      </c>
      <c r="E21" s="43">
        <v>14250</v>
      </c>
      <c r="F21" s="43">
        <v>54250</v>
      </c>
    </row>
    <row r="22" spans="1:6" x14ac:dyDescent="0.25">
      <c r="A22" t="s">
        <v>94</v>
      </c>
      <c r="B22" t="s">
        <v>95</v>
      </c>
      <c r="C22" s="43">
        <v>38500</v>
      </c>
      <c r="D22" s="43">
        <v>30000</v>
      </c>
      <c r="E22" s="43">
        <v>14250</v>
      </c>
      <c r="F22" s="43">
        <v>54250</v>
      </c>
    </row>
    <row r="23" spans="1:6" x14ac:dyDescent="0.25">
      <c r="A23" t="s">
        <v>96</v>
      </c>
      <c r="B23" t="s">
        <v>97</v>
      </c>
      <c r="C23">
        <v>0</v>
      </c>
      <c r="D23" s="43">
        <v>30000</v>
      </c>
      <c r="E23">
        <v>0</v>
      </c>
      <c r="F23" s="43">
        <v>30000</v>
      </c>
    </row>
    <row r="24" spans="1:6" x14ac:dyDescent="0.25">
      <c r="A24" t="s">
        <v>98</v>
      </c>
      <c r="B24" t="s">
        <v>99</v>
      </c>
      <c r="C24" s="43">
        <v>10000</v>
      </c>
      <c r="D24">
        <v>0</v>
      </c>
      <c r="E24" s="43">
        <v>4000</v>
      </c>
      <c r="F24" s="43">
        <v>6000</v>
      </c>
    </row>
    <row r="25" spans="1:6" x14ac:dyDescent="0.25">
      <c r="A25" t="s">
        <v>100</v>
      </c>
      <c r="B25" t="s">
        <v>101</v>
      </c>
      <c r="C25" s="43">
        <v>5000</v>
      </c>
      <c r="D25">
        <v>0</v>
      </c>
      <c r="E25" s="43">
        <v>2000</v>
      </c>
      <c r="F25" s="43">
        <v>3000</v>
      </c>
    </row>
    <row r="26" spans="1:6" x14ac:dyDescent="0.25">
      <c r="A26" t="s">
        <v>102</v>
      </c>
      <c r="B26" t="s">
        <v>103</v>
      </c>
      <c r="C26" s="43">
        <v>3750</v>
      </c>
      <c r="D26">
        <v>0</v>
      </c>
      <c r="E26" s="43">
        <v>1500</v>
      </c>
      <c r="F26" s="43">
        <v>2250</v>
      </c>
    </row>
    <row r="27" spans="1:6" x14ac:dyDescent="0.25">
      <c r="A27" t="s">
        <v>104</v>
      </c>
      <c r="B27" t="s">
        <v>105</v>
      </c>
      <c r="C27" s="43">
        <v>6875</v>
      </c>
      <c r="D27">
        <v>0</v>
      </c>
      <c r="E27" s="43">
        <v>2750</v>
      </c>
      <c r="F27" s="43">
        <v>4125</v>
      </c>
    </row>
    <row r="28" spans="1:6" x14ac:dyDescent="0.25">
      <c r="A28" t="s">
        <v>106</v>
      </c>
      <c r="B28" t="s">
        <v>107</v>
      </c>
      <c r="C28" s="43">
        <v>3125</v>
      </c>
      <c r="D28">
        <v>0</v>
      </c>
      <c r="E28" s="43">
        <v>1250</v>
      </c>
      <c r="F28" s="43">
        <v>1875</v>
      </c>
    </row>
    <row r="29" spans="1:6" x14ac:dyDescent="0.25">
      <c r="A29" t="s">
        <v>108</v>
      </c>
      <c r="B29" t="s">
        <v>109</v>
      </c>
      <c r="C29" s="43">
        <v>3750</v>
      </c>
      <c r="D29">
        <v>0</v>
      </c>
      <c r="E29" s="43">
        <v>1250</v>
      </c>
      <c r="F29" s="43">
        <v>2500</v>
      </c>
    </row>
    <row r="30" spans="1:6" x14ac:dyDescent="0.25">
      <c r="A30" t="s">
        <v>110</v>
      </c>
      <c r="B30" t="s">
        <v>111</v>
      </c>
      <c r="C30" s="43">
        <v>6000</v>
      </c>
      <c r="D30">
        <v>0</v>
      </c>
      <c r="E30" s="43">
        <v>1500</v>
      </c>
      <c r="F30" s="43">
        <v>4500</v>
      </c>
    </row>
    <row r="31" spans="1:6" x14ac:dyDescent="0.25">
      <c r="A31" t="s">
        <v>112</v>
      </c>
      <c r="B31" t="s">
        <v>113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t="s">
        <v>114</v>
      </c>
      <c r="B32" t="s">
        <v>113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t="s">
        <v>115</v>
      </c>
      <c r="B33" t="s">
        <v>116</v>
      </c>
      <c r="C33" s="43">
        <v>194976.91</v>
      </c>
      <c r="D33" s="43">
        <v>9100.93</v>
      </c>
      <c r="E33">
        <v>0</v>
      </c>
      <c r="F33" s="43">
        <v>204077.84</v>
      </c>
    </row>
    <row r="34" spans="1:6" x14ac:dyDescent="0.25">
      <c r="A34" t="s">
        <v>117</v>
      </c>
      <c r="B34" t="s">
        <v>118</v>
      </c>
      <c r="C34" s="43">
        <v>194976.91</v>
      </c>
      <c r="D34" s="43">
        <v>9100.93</v>
      </c>
      <c r="E34">
        <v>0</v>
      </c>
      <c r="F34" s="43">
        <v>204077.84</v>
      </c>
    </row>
    <row r="35" spans="1:6" x14ac:dyDescent="0.25">
      <c r="A35" t="s">
        <v>119</v>
      </c>
      <c r="B35" t="s">
        <v>120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121</v>
      </c>
      <c r="B36" t="s">
        <v>122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123</v>
      </c>
      <c r="B37" t="s">
        <v>124</v>
      </c>
      <c r="C37" s="43">
        <v>121621.75999999999</v>
      </c>
      <c r="D37">
        <v>0</v>
      </c>
      <c r="E37" s="43">
        <v>30405.45</v>
      </c>
      <c r="F37" s="43">
        <v>91216.31</v>
      </c>
    </row>
    <row r="38" spans="1:6" x14ac:dyDescent="0.25">
      <c r="A38" t="s">
        <v>125</v>
      </c>
      <c r="B38" t="s">
        <v>126</v>
      </c>
      <c r="C38" s="43">
        <v>121621.75999999999</v>
      </c>
      <c r="D38">
        <v>0</v>
      </c>
      <c r="E38" s="43">
        <v>30405.45</v>
      </c>
      <c r="F38" s="43">
        <v>91216.31</v>
      </c>
    </row>
    <row r="39" spans="1:6" x14ac:dyDescent="0.25">
      <c r="A39" t="s">
        <v>127</v>
      </c>
      <c r="B39" t="s">
        <v>128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129</v>
      </c>
      <c r="B40" t="s">
        <v>130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t="s">
        <v>131</v>
      </c>
      <c r="B41" t="s">
        <v>132</v>
      </c>
      <c r="C41" s="43">
        <v>82782.33</v>
      </c>
      <c r="D41">
        <v>0</v>
      </c>
      <c r="E41">
        <v>0</v>
      </c>
      <c r="F41" s="43">
        <v>82782.33</v>
      </c>
    </row>
    <row r="42" spans="1:6" x14ac:dyDescent="0.25">
      <c r="A42" t="s">
        <v>133</v>
      </c>
      <c r="B42" t="s">
        <v>134</v>
      </c>
      <c r="C42" s="43">
        <v>82782.33</v>
      </c>
      <c r="D42">
        <v>0</v>
      </c>
      <c r="E42">
        <v>0</v>
      </c>
      <c r="F42" s="43">
        <v>82782.33</v>
      </c>
    </row>
    <row r="43" spans="1:6" x14ac:dyDescent="0.25">
      <c r="A43" t="s">
        <v>135</v>
      </c>
      <c r="B43" t="s">
        <v>136</v>
      </c>
      <c r="C43" s="43">
        <v>-82782.33</v>
      </c>
      <c r="D43">
        <v>0</v>
      </c>
      <c r="E43">
        <v>0</v>
      </c>
      <c r="F43" s="43">
        <v>-82782.33</v>
      </c>
    </row>
    <row r="44" spans="1:6" x14ac:dyDescent="0.25">
      <c r="A44" t="s">
        <v>137</v>
      </c>
      <c r="B44" t="s">
        <v>138</v>
      </c>
      <c r="C44" s="43">
        <v>-82782.33</v>
      </c>
      <c r="D44">
        <v>0</v>
      </c>
      <c r="E44">
        <v>0</v>
      </c>
      <c r="F44" s="43">
        <v>-82782.33</v>
      </c>
    </row>
    <row r="45" spans="1:6" x14ac:dyDescent="0.25">
      <c r="A45" t="s">
        <v>139</v>
      </c>
      <c r="B45" t="s">
        <v>140</v>
      </c>
      <c r="C45" s="43">
        <v>1403261.31</v>
      </c>
      <c r="D45" s="43">
        <v>4522904.8</v>
      </c>
      <c r="E45" s="43">
        <v>4282586.63</v>
      </c>
      <c r="F45" s="43">
        <v>1162943.1399999999</v>
      </c>
    </row>
    <row r="46" spans="1:6" x14ac:dyDescent="0.25">
      <c r="A46" t="s">
        <v>141</v>
      </c>
      <c r="B46" t="s">
        <v>142</v>
      </c>
      <c r="C46" s="43">
        <v>2058621.48</v>
      </c>
      <c r="D46" s="43">
        <v>2977448.51</v>
      </c>
      <c r="E46" s="43">
        <v>2737130.34</v>
      </c>
      <c r="F46" s="43">
        <v>1818303.31</v>
      </c>
    </row>
    <row r="47" spans="1:6" x14ac:dyDescent="0.25">
      <c r="A47" t="s">
        <v>143</v>
      </c>
      <c r="B47" t="s">
        <v>144</v>
      </c>
      <c r="C47">
        <v>0</v>
      </c>
      <c r="D47" s="43">
        <v>301741</v>
      </c>
      <c r="E47" s="43">
        <v>236184</v>
      </c>
      <c r="F47" s="43">
        <v>-65557</v>
      </c>
    </row>
    <row r="48" spans="1:6" x14ac:dyDescent="0.25">
      <c r="A48" t="s">
        <v>145</v>
      </c>
      <c r="B48" t="s">
        <v>146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t="s">
        <v>147</v>
      </c>
      <c r="B49" t="s">
        <v>148</v>
      </c>
      <c r="C49" s="43">
        <v>4161.17</v>
      </c>
      <c r="D49" s="43">
        <v>3537</v>
      </c>
      <c r="E49" s="43">
        <v>3917</v>
      </c>
      <c r="F49" s="43">
        <v>4541.17</v>
      </c>
    </row>
    <row r="50" spans="1:6" x14ac:dyDescent="0.25">
      <c r="A50" t="s">
        <v>149</v>
      </c>
      <c r="B50" t="s">
        <v>150</v>
      </c>
      <c r="C50">
        <v>0</v>
      </c>
      <c r="D50" s="43">
        <v>824524.52</v>
      </c>
      <c r="E50" s="43">
        <v>824524.52</v>
      </c>
      <c r="F50">
        <v>0</v>
      </c>
    </row>
    <row r="51" spans="1:6" x14ac:dyDescent="0.25">
      <c r="A51" t="s">
        <v>151</v>
      </c>
      <c r="B51" t="s">
        <v>152</v>
      </c>
      <c r="C51">
        <v>0</v>
      </c>
      <c r="D51" s="43">
        <v>239949.25</v>
      </c>
      <c r="E51" s="43">
        <v>239949.25</v>
      </c>
      <c r="F51">
        <v>0</v>
      </c>
    </row>
    <row r="52" spans="1:6" x14ac:dyDescent="0.25">
      <c r="A52" t="s">
        <v>153</v>
      </c>
      <c r="B52" t="s">
        <v>154</v>
      </c>
      <c r="C52" s="43">
        <v>368309.26</v>
      </c>
      <c r="D52" s="43">
        <v>225981.88</v>
      </c>
      <c r="E52" s="43">
        <v>141849.54999999999</v>
      </c>
      <c r="F52" s="43">
        <v>284176.93</v>
      </c>
    </row>
    <row r="53" spans="1:6" x14ac:dyDescent="0.25">
      <c r="A53" t="s">
        <v>155</v>
      </c>
      <c r="B53" t="s">
        <v>156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t="s">
        <v>157</v>
      </c>
      <c r="B54" t="s">
        <v>158</v>
      </c>
      <c r="C54">
        <v>0</v>
      </c>
      <c r="D54" s="43">
        <v>2900</v>
      </c>
      <c r="E54" s="43">
        <v>2900</v>
      </c>
      <c r="F54">
        <v>0</v>
      </c>
    </row>
    <row r="55" spans="1:6" x14ac:dyDescent="0.25">
      <c r="A55" t="s">
        <v>159</v>
      </c>
      <c r="B55" t="s">
        <v>160</v>
      </c>
      <c r="C55">
        <v>0</v>
      </c>
      <c r="D55" s="43">
        <v>107350.26</v>
      </c>
      <c r="E55" s="43">
        <v>107350.26</v>
      </c>
      <c r="F55">
        <v>0</v>
      </c>
    </row>
    <row r="56" spans="1:6" x14ac:dyDescent="0.25">
      <c r="A56" t="s">
        <v>161</v>
      </c>
      <c r="B56" t="s">
        <v>162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t="s">
        <v>163</v>
      </c>
      <c r="B57" t="s">
        <v>164</v>
      </c>
      <c r="C57" s="43">
        <v>-180000</v>
      </c>
      <c r="D57" s="43">
        <v>180000</v>
      </c>
      <c r="E57" s="43">
        <v>180000</v>
      </c>
      <c r="F57" s="43">
        <v>-180000</v>
      </c>
    </row>
    <row r="58" spans="1:6" x14ac:dyDescent="0.25">
      <c r="A58" t="s">
        <v>165</v>
      </c>
      <c r="B58" t="s">
        <v>166</v>
      </c>
      <c r="C58" s="43">
        <v>1120385.26</v>
      </c>
      <c r="D58">
        <v>0</v>
      </c>
      <c r="E58">
        <v>0</v>
      </c>
      <c r="F58" s="43">
        <v>1120385.26</v>
      </c>
    </row>
    <row r="59" spans="1:6" x14ac:dyDescent="0.25">
      <c r="A59" t="s">
        <v>167</v>
      </c>
      <c r="B59" t="s">
        <v>168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t="s">
        <v>169</v>
      </c>
      <c r="B60" t="s">
        <v>170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t="s">
        <v>171</v>
      </c>
      <c r="B61" t="s">
        <v>172</v>
      </c>
      <c r="C61">
        <v>0</v>
      </c>
      <c r="D61" s="43">
        <v>5091.26</v>
      </c>
      <c r="E61" s="43">
        <v>5091.26</v>
      </c>
      <c r="F61">
        <v>0</v>
      </c>
    </row>
    <row r="62" spans="1:6" x14ac:dyDescent="0.25">
      <c r="A62" t="s">
        <v>173</v>
      </c>
      <c r="B62" t="s">
        <v>174</v>
      </c>
      <c r="C62">
        <v>0</v>
      </c>
      <c r="D62" s="43">
        <v>17943.22</v>
      </c>
      <c r="E62" s="43">
        <v>17943.22</v>
      </c>
      <c r="F62">
        <v>0</v>
      </c>
    </row>
    <row r="63" spans="1:6" x14ac:dyDescent="0.25">
      <c r="A63" t="s">
        <v>175</v>
      </c>
      <c r="B63" t="s">
        <v>176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t="s">
        <v>177</v>
      </c>
      <c r="B64" t="s">
        <v>178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t="s">
        <v>179</v>
      </c>
      <c r="B65" t="s">
        <v>180</v>
      </c>
      <c r="C65">
        <v>0</v>
      </c>
      <c r="D65" s="43">
        <v>38680.449999999997</v>
      </c>
      <c r="E65" s="43">
        <v>38680.449999999997</v>
      </c>
      <c r="F65">
        <v>0</v>
      </c>
    </row>
    <row r="66" spans="1:6" x14ac:dyDescent="0.25">
      <c r="A66" t="s">
        <v>181</v>
      </c>
      <c r="B66" t="s">
        <v>182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t="s">
        <v>183</v>
      </c>
      <c r="B67" t="s">
        <v>184</v>
      </c>
      <c r="C67">
        <v>-0.02</v>
      </c>
      <c r="D67" s="43">
        <v>9254.6</v>
      </c>
      <c r="E67" s="43">
        <v>9254.6</v>
      </c>
      <c r="F67">
        <v>-0.02</v>
      </c>
    </row>
    <row r="68" spans="1:6" x14ac:dyDescent="0.25">
      <c r="A68" t="s">
        <v>185</v>
      </c>
      <c r="B68" t="s">
        <v>186</v>
      </c>
      <c r="C68">
        <v>0</v>
      </c>
      <c r="D68" s="43">
        <v>6100</v>
      </c>
      <c r="E68" s="43">
        <v>6100</v>
      </c>
      <c r="F68">
        <v>0</v>
      </c>
    </row>
    <row r="69" spans="1:6" x14ac:dyDescent="0.25">
      <c r="A69" t="s">
        <v>187</v>
      </c>
      <c r="B69" t="s">
        <v>188</v>
      </c>
      <c r="C69">
        <v>0</v>
      </c>
      <c r="D69" s="43">
        <v>7581.9</v>
      </c>
      <c r="E69" s="43">
        <v>7581.9</v>
      </c>
      <c r="F69">
        <v>0</v>
      </c>
    </row>
    <row r="70" spans="1:6" x14ac:dyDescent="0.25">
      <c r="A70" t="s">
        <v>189</v>
      </c>
      <c r="B70" t="s">
        <v>190</v>
      </c>
      <c r="C70">
        <v>877.13</v>
      </c>
      <c r="D70" s="43">
        <v>8092.34</v>
      </c>
      <c r="E70" s="43">
        <v>8092.34</v>
      </c>
      <c r="F70">
        <v>877.13</v>
      </c>
    </row>
    <row r="71" spans="1:6" x14ac:dyDescent="0.25">
      <c r="A71" t="s">
        <v>191</v>
      </c>
      <c r="B71" t="s">
        <v>192</v>
      </c>
      <c r="C71" s="43">
        <v>-5143.4399999999996</v>
      </c>
      <c r="D71" s="43">
        <v>5236.24</v>
      </c>
      <c r="E71" s="43">
        <v>5236.24</v>
      </c>
      <c r="F71" s="43">
        <v>-5143.4399999999996</v>
      </c>
    </row>
    <row r="72" spans="1:6" x14ac:dyDescent="0.25">
      <c r="A72" t="s">
        <v>193</v>
      </c>
      <c r="B72" t="s">
        <v>194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t="s">
        <v>195</v>
      </c>
      <c r="B73" t="s">
        <v>196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t="s">
        <v>197</v>
      </c>
      <c r="B74" t="s">
        <v>198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t="s">
        <v>199</v>
      </c>
      <c r="B75" t="s">
        <v>200</v>
      </c>
      <c r="C75" s="43">
        <v>-12141.76</v>
      </c>
      <c r="D75" s="43">
        <v>8576.83</v>
      </c>
      <c r="E75" s="43">
        <v>8576.83</v>
      </c>
      <c r="F75" s="43">
        <v>-12141.76</v>
      </c>
    </row>
    <row r="76" spans="1:6" x14ac:dyDescent="0.25">
      <c r="A76" t="s">
        <v>201</v>
      </c>
      <c r="B76" t="s">
        <v>202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t="s">
        <v>203</v>
      </c>
      <c r="B77" t="s">
        <v>204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t="s">
        <v>205</v>
      </c>
      <c r="B78" t="s">
        <v>206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t="s">
        <v>207</v>
      </c>
      <c r="B79" t="s">
        <v>208</v>
      </c>
      <c r="C79">
        <v>0</v>
      </c>
      <c r="D79" s="43">
        <v>2042.56</v>
      </c>
      <c r="E79" s="43">
        <v>2042.56</v>
      </c>
      <c r="F79">
        <v>0</v>
      </c>
    </row>
    <row r="80" spans="1:6" x14ac:dyDescent="0.25">
      <c r="A80" t="s">
        <v>209</v>
      </c>
      <c r="B80" t="s">
        <v>210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t="s">
        <v>211</v>
      </c>
      <c r="B81" t="s">
        <v>212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t="s">
        <v>213</v>
      </c>
      <c r="B82" t="s">
        <v>214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t="s">
        <v>215</v>
      </c>
      <c r="B83" t="s">
        <v>216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t="s">
        <v>217</v>
      </c>
      <c r="B84" t="s">
        <v>218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t="s">
        <v>219</v>
      </c>
      <c r="B85" t="s">
        <v>220</v>
      </c>
      <c r="C85" s="43">
        <v>139693.69</v>
      </c>
      <c r="D85">
        <v>0</v>
      </c>
      <c r="E85">
        <v>0</v>
      </c>
      <c r="F85" s="43">
        <v>139693.69</v>
      </c>
    </row>
    <row r="86" spans="1:6" x14ac:dyDescent="0.25">
      <c r="A86" t="s">
        <v>221</v>
      </c>
      <c r="B86" t="s">
        <v>222</v>
      </c>
      <c r="C86" s="43">
        <v>94790</v>
      </c>
      <c r="D86">
        <v>0</v>
      </c>
      <c r="E86">
        <v>0</v>
      </c>
      <c r="F86" s="43">
        <v>94790</v>
      </c>
    </row>
    <row r="87" spans="1:6" x14ac:dyDescent="0.25">
      <c r="A87" t="s">
        <v>223</v>
      </c>
      <c r="B87" t="s">
        <v>224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t="s">
        <v>225</v>
      </c>
      <c r="B88" t="s">
        <v>226</v>
      </c>
      <c r="C88">
        <v>0</v>
      </c>
      <c r="D88" s="43">
        <v>1526</v>
      </c>
      <c r="E88" s="43">
        <v>1526</v>
      </c>
      <c r="F88">
        <v>0</v>
      </c>
    </row>
    <row r="89" spans="1:6" x14ac:dyDescent="0.25">
      <c r="A89" t="s">
        <v>227</v>
      </c>
      <c r="B89" t="s">
        <v>228</v>
      </c>
      <c r="C89" s="43">
        <v>39776.69</v>
      </c>
      <c r="D89">
        <v>0</v>
      </c>
      <c r="E89">
        <v>0</v>
      </c>
      <c r="F89" s="43">
        <v>39776.69</v>
      </c>
    </row>
    <row r="90" spans="1:6" x14ac:dyDescent="0.25">
      <c r="A90" t="s">
        <v>229</v>
      </c>
      <c r="B90" t="s">
        <v>230</v>
      </c>
      <c r="C90" s="43">
        <v>-3446.57</v>
      </c>
      <c r="D90">
        <v>0</v>
      </c>
      <c r="E90">
        <v>0</v>
      </c>
      <c r="F90" s="43">
        <v>-3446.57</v>
      </c>
    </row>
    <row r="91" spans="1:6" x14ac:dyDescent="0.25">
      <c r="A91" t="s">
        <v>231</v>
      </c>
      <c r="B91" t="s">
        <v>232</v>
      </c>
      <c r="C91">
        <v>0</v>
      </c>
      <c r="D91" s="43">
        <v>2845.36</v>
      </c>
      <c r="E91" s="43">
        <v>2845.6</v>
      </c>
      <c r="F91">
        <v>0.24</v>
      </c>
    </row>
    <row r="92" spans="1:6" x14ac:dyDescent="0.25">
      <c r="A92" t="s">
        <v>233</v>
      </c>
      <c r="B92" t="s">
        <v>234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t="s">
        <v>235</v>
      </c>
      <c r="B93" t="s">
        <v>236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t="s">
        <v>237</v>
      </c>
      <c r="B94" t="s">
        <v>238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t="s">
        <v>239</v>
      </c>
      <c r="B95" t="s">
        <v>240</v>
      </c>
      <c r="C95">
        <v>0</v>
      </c>
      <c r="D95" s="43">
        <v>11114.64</v>
      </c>
      <c r="E95" s="43">
        <v>11114.64</v>
      </c>
      <c r="F95">
        <v>0</v>
      </c>
    </row>
    <row r="96" spans="1:6" x14ac:dyDescent="0.25">
      <c r="A96" t="s">
        <v>241</v>
      </c>
      <c r="B96" t="s">
        <v>242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t="s">
        <v>243</v>
      </c>
      <c r="B97" t="s">
        <v>244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t="s">
        <v>245</v>
      </c>
      <c r="B98" t="s">
        <v>246</v>
      </c>
      <c r="C98">
        <v>930.79</v>
      </c>
      <c r="D98">
        <v>0</v>
      </c>
      <c r="E98">
        <v>0</v>
      </c>
      <c r="F98">
        <v>930.79</v>
      </c>
    </row>
    <row r="99" spans="1:6" x14ac:dyDescent="0.25">
      <c r="A99" t="s">
        <v>247</v>
      </c>
      <c r="B99" t="s">
        <v>248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t="s">
        <v>249</v>
      </c>
      <c r="B100" t="s">
        <v>250</v>
      </c>
      <c r="C100">
        <v>0</v>
      </c>
      <c r="D100" s="43">
        <v>3707.04</v>
      </c>
      <c r="E100" s="43">
        <v>3707.04</v>
      </c>
      <c r="F100">
        <v>0</v>
      </c>
    </row>
    <row r="101" spans="1:6" x14ac:dyDescent="0.25">
      <c r="A101" t="s">
        <v>251</v>
      </c>
      <c r="B101" t="s">
        <v>252</v>
      </c>
      <c r="C101">
        <v>0</v>
      </c>
      <c r="D101" s="43">
        <v>125320</v>
      </c>
      <c r="E101" s="43">
        <v>125320</v>
      </c>
      <c r="F101">
        <v>0</v>
      </c>
    </row>
    <row r="102" spans="1:6" x14ac:dyDescent="0.25">
      <c r="A102" t="s">
        <v>253</v>
      </c>
      <c r="B102" t="s">
        <v>254</v>
      </c>
      <c r="C102" s="43">
        <v>-3130</v>
      </c>
      <c r="D102" s="43">
        <v>4371.5</v>
      </c>
      <c r="E102" s="43">
        <v>4371.5</v>
      </c>
      <c r="F102" s="43">
        <v>-3130</v>
      </c>
    </row>
    <row r="103" spans="1:6" x14ac:dyDescent="0.25">
      <c r="A103" t="s">
        <v>255</v>
      </c>
      <c r="B103" t="s">
        <v>256</v>
      </c>
      <c r="C103">
        <v>0</v>
      </c>
      <c r="D103" s="43">
        <v>4000</v>
      </c>
      <c r="E103" s="43">
        <v>8683.75</v>
      </c>
      <c r="F103" s="43">
        <v>4683.75</v>
      </c>
    </row>
    <row r="104" spans="1:6" x14ac:dyDescent="0.25">
      <c r="A104" t="s">
        <v>257</v>
      </c>
      <c r="B104" t="s">
        <v>258</v>
      </c>
      <c r="C104">
        <v>0</v>
      </c>
      <c r="D104" s="43">
        <v>12490</v>
      </c>
      <c r="E104" s="43">
        <v>7806.25</v>
      </c>
      <c r="F104" s="43">
        <v>-4683.75</v>
      </c>
    </row>
    <row r="105" spans="1:6" x14ac:dyDescent="0.25">
      <c r="A105" t="s">
        <v>259</v>
      </c>
      <c r="B105" t="s">
        <v>260</v>
      </c>
      <c r="C105">
        <v>0</v>
      </c>
      <c r="D105" s="43">
        <v>4575.9799999999996</v>
      </c>
      <c r="E105" s="43">
        <v>4575.9799999999996</v>
      </c>
      <c r="F105">
        <v>0</v>
      </c>
    </row>
    <row r="106" spans="1:6" x14ac:dyDescent="0.25">
      <c r="A106" t="s">
        <v>261</v>
      </c>
      <c r="B106" t="s">
        <v>262</v>
      </c>
      <c r="C106">
        <v>0</v>
      </c>
      <c r="D106" s="43">
        <v>7308.09</v>
      </c>
      <c r="E106" s="43">
        <v>7308.09</v>
      </c>
      <c r="F106">
        <v>0</v>
      </c>
    </row>
    <row r="107" spans="1:6" x14ac:dyDescent="0.25">
      <c r="A107" t="s">
        <v>263</v>
      </c>
      <c r="B107" t="s">
        <v>264</v>
      </c>
      <c r="C107" s="43">
        <v>89427.17</v>
      </c>
      <c r="D107" s="43">
        <v>7436</v>
      </c>
      <c r="E107" s="43">
        <v>7436</v>
      </c>
      <c r="F107" s="43">
        <v>89427.17</v>
      </c>
    </row>
    <row r="108" spans="1:6" x14ac:dyDescent="0.25">
      <c r="A108" t="s">
        <v>265</v>
      </c>
      <c r="B108" t="s">
        <v>266</v>
      </c>
      <c r="C108" s="43">
        <v>399602.1</v>
      </c>
      <c r="D108" s="43">
        <v>214520.25</v>
      </c>
      <c r="E108" s="43">
        <v>102323.76</v>
      </c>
      <c r="F108" s="43">
        <v>287405.61</v>
      </c>
    </row>
    <row r="109" spans="1:6" x14ac:dyDescent="0.25">
      <c r="A109" t="s">
        <v>267</v>
      </c>
      <c r="B109" t="s">
        <v>268</v>
      </c>
      <c r="C109">
        <v>0</v>
      </c>
      <c r="D109" s="43">
        <v>23391.94</v>
      </c>
      <c r="E109" s="43">
        <v>23391.94</v>
      </c>
      <c r="F109">
        <v>0</v>
      </c>
    </row>
    <row r="110" spans="1:6" x14ac:dyDescent="0.25">
      <c r="A110" t="s">
        <v>269</v>
      </c>
      <c r="B110" t="s">
        <v>270</v>
      </c>
      <c r="C110">
        <v>0</v>
      </c>
      <c r="D110" s="43">
        <v>5189.57</v>
      </c>
      <c r="E110" s="43">
        <v>5189.57</v>
      </c>
      <c r="F110">
        <v>0</v>
      </c>
    </row>
    <row r="111" spans="1:6" x14ac:dyDescent="0.25">
      <c r="A111" t="s">
        <v>271</v>
      </c>
      <c r="B111" t="s">
        <v>272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t="s">
        <v>273</v>
      </c>
      <c r="B112" t="s">
        <v>274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t="s">
        <v>275</v>
      </c>
      <c r="B113" t="s">
        <v>276</v>
      </c>
      <c r="C113">
        <v>0</v>
      </c>
      <c r="D113" s="43">
        <v>18739.8</v>
      </c>
      <c r="E113" s="43">
        <v>18739.8</v>
      </c>
      <c r="F113">
        <v>0</v>
      </c>
    </row>
    <row r="114" spans="1:6" x14ac:dyDescent="0.25">
      <c r="A114" t="s">
        <v>277</v>
      </c>
      <c r="B114" t="s">
        <v>278</v>
      </c>
      <c r="C114">
        <v>0</v>
      </c>
      <c r="D114" s="43">
        <v>19702.919999999998</v>
      </c>
      <c r="E114" s="43">
        <v>19952.330000000002</v>
      </c>
      <c r="F114">
        <v>249.41</v>
      </c>
    </row>
    <row r="115" spans="1:6" x14ac:dyDescent="0.25">
      <c r="A115" t="s">
        <v>279</v>
      </c>
      <c r="B115" t="s">
        <v>280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t="s">
        <v>281</v>
      </c>
      <c r="B116" t="s">
        <v>282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t="s">
        <v>283</v>
      </c>
      <c r="B117" t="s">
        <v>284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t="s">
        <v>285</v>
      </c>
      <c r="B118" t="s">
        <v>286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t="s">
        <v>287</v>
      </c>
      <c r="B119" t="s">
        <v>288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t="s">
        <v>289</v>
      </c>
      <c r="B120" t="s">
        <v>290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t="s">
        <v>291</v>
      </c>
      <c r="B121" t="s">
        <v>292</v>
      </c>
      <c r="C121">
        <v>0</v>
      </c>
      <c r="D121" s="43">
        <v>68904</v>
      </c>
      <c r="E121" s="43">
        <v>68904</v>
      </c>
      <c r="F121">
        <v>0</v>
      </c>
    </row>
    <row r="122" spans="1:6" x14ac:dyDescent="0.25">
      <c r="A122" t="s">
        <v>293</v>
      </c>
      <c r="B122" t="s">
        <v>294</v>
      </c>
      <c r="C122" s="43">
        <v>3130</v>
      </c>
      <c r="D122" s="43">
        <v>3747</v>
      </c>
      <c r="E122" s="43">
        <v>3747</v>
      </c>
      <c r="F122" s="43">
        <v>3130</v>
      </c>
    </row>
    <row r="123" spans="1:6" x14ac:dyDescent="0.25">
      <c r="A123" t="s">
        <v>295</v>
      </c>
      <c r="B123" t="s">
        <v>296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t="s">
        <v>297</v>
      </c>
      <c r="B124" t="s">
        <v>298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t="s">
        <v>299</v>
      </c>
      <c r="B125" t="s">
        <v>300</v>
      </c>
      <c r="C125">
        <v>0</v>
      </c>
      <c r="D125" s="43">
        <v>161835.07</v>
      </c>
      <c r="E125" s="43">
        <v>161835.07</v>
      </c>
      <c r="F125">
        <v>0</v>
      </c>
    </row>
    <row r="126" spans="1:6" x14ac:dyDescent="0.25">
      <c r="A126" t="s">
        <v>301</v>
      </c>
      <c r="B126" t="s">
        <v>302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t="s">
        <v>303</v>
      </c>
      <c r="B127" t="s">
        <v>304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t="s">
        <v>305</v>
      </c>
      <c r="B128" t="s">
        <v>306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t="s">
        <v>307</v>
      </c>
      <c r="B129" t="s">
        <v>308</v>
      </c>
      <c r="C129">
        <v>0</v>
      </c>
      <c r="D129">
        <v>0</v>
      </c>
      <c r="E129" s="43">
        <v>20938</v>
      </c>
      <c r="F129" s="43">
        <v>20938</v>
      </c>
    </row>
    <row r="130" spans="1:6" x14ac:dyDescent="0.25">
      <c r="A130" t="s">
        <v>309</v>
      </c>
      <c r="B130" t="s">
        <v>310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t="s">
        <v>311</v>
      </c>
      <c r="B131" t="s">
        <v>312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t="s">
        <v>313</v>
      </c>
      <c r="B132" t="s">
        <v>314</v>
      </c>
      <c r="C132" s="43">
        <v>1400</v>
      </c>
      <c r="D132">
        <v>0</v>
      </c>
      <c r="E132">
        <v>0</v>
      </c>
      <c r="F132" s="43">
        <v>1400</v>
      </c>
    </row>
    <row r="133" spans="1:6" x14ac:dyDescent="0.25">
      <c r="A133" t="s">
        <v>315</v>
      </c>
      <c r="B133" t="s">
        <v>316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t="s">
        <v>317</v>
      </c>
      <c r="B134" t="s">
        <v>318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t="s">
        <v>319</v>
      </c>
      <c r="B135" t="s">
        <v>320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t="s">
        <v>321</v>
      </c>
      <c r="B136" t="s">
        <v>322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t="s">
        <v>323</v>
      </c>
      <c r="B137" t="s">
        <v>324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t="s">
        <v>325</v>
      </c>
      <c r="B138" t="s">
        <v>326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t="s">
        <v>327</v>
      </c>
      <c r="B139" t="s">
        <v>328</v>
      </c>
      <c r="C139" s="43">
        <v>7167.64</v>
      </c>
      <c r="D139">
        <v>0</v>
      </c>
      <c r="E139">
        <v>0</v>
      </c>
      <c r="F139" s="43">
        <v>7167.64</v>
      </c>
    </row>
    <row r="140" spans="1:6" x14ac:dyDescent="0.25">
      <c r="A140" t="s">
        <v>329</v>
      </c>
      <c r="B140" t="s">
        <v>330</v>
      </c>
      <c r="C140">
        <v>0</v>
      </c>
      <c r="D140" s="43">
        <v>11704.5</v>
      </c>
      <c r="E140" s="43">
        <v>11704.5</v>
      </c>
      <c r="F140">
        <v>0</v>
      </c>
    </row>
    <row r="141" spans="1:6" x14ac:dyDescent="0.25">
      <c r="A141" t="s">
        <v>331</v>
      </c>
      <c r="B141" t="s">
        <v>332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t="s">
        <v>333</v>
      </c>
      <c r="B142" t="s">
        <v>334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t="s">
        <v>335</v>
      </c>
      <c r="B143" t="s">
        <v>336</v>
      </c>
      <c r="C143">
        <v>0.01</v>
      </c>
      <c r="D143">
        <v>0</v>
      </c>
      <c r="E143">
        <v>0</v>
      </c>
      <c r="F143">
        <v>0.01</v>
      </c>
    </row>
    <row r="144" spans="1:6" x14ac:dyDescent="0.25">
      <c r="A144" t="s">
        <v>337</v>
      </c>
      <c r="B144" t="s">
        <v>338</v>
      </c>
      <c r="C144">
        <v>0</v>
      </c>
      <c r="D144" s="43">
        <v>6347.06</v>
      </c>
      <c r="E144" s="43">
        <v>6347.06</v>
      </c>
      <c r="F144">
        <v>0</v>
      </c>
    </row>
    <row r="145" spans="1:6" x14ac:dyDescent="0.25">
      <c r="A145" t="s">
        <v>339</v>
      </c>
      <c r="B145" t="s">
        <v>340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t="s">
        <v>341</v>
      </c>
      <c r="B146" t="s">
        <v>342</v>
      </c>
      <c r="C146">
        <v>0</v>
      </c>
      <c r="D146" s="43">
        <v>63561.8</v>
      </c>
      <c r="E146" s="43">
        <v>63561.8</v>
      </c>
      <c r="F146">
        <v>0</v>
      </c>
    </row>
    <row r="147" spans="1:6" x14ac:dyDescent="0.25">
      <c r="A147" t="s">
        <v>343</v>
      </c>
      <c r="B147" t="s">
        <v>344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t="s">
        <v>345</v>
      </c>
      <c r="B148" t="s">
        <v>346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t="s">
        <v>347</v>
      </c>
      <c r="B149" t="s">
        <v>348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t="s">
        <v>349</v>
      </c>
      <c r="B150" t="s">
        <v>350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t="s">
        <v>351</v>
      </c>
      <c r="B151" t="s">
        <v>352</v>
      </c>
      <c r="C151">
        <v>0</v>
      </c>
      <c r="D151" s="43">
        <v>42996.05</v>
      </c>
      <c r="E151" s="43">
        <v>42996.05</v>
      </c>
      <c r="F151">
        <v>0</v>
      </c>
    </row>
    <row r="152" spans="1:6" x14ac:dyDescent="0.25">
      <c r="A152" t="s">
        <v>353</v>
      </c>
      <c r="B152" t="s">
        <v>354</v>
      </c>
      <c r="C152">
        <v>0</v>
      </c>
      <c r="D152" s="43">
        <v>14897.03</v>
      </c>
      <c r="E152" s="43">
        <v>14897.03</v>
      </c>
      <c r="F152">
        <v>0</v>
      </c>
    </row>
    <row r="153" spans="1:6" x14ac:dyDescent="0.25">
      <c r="A153" t="s">
        <v>355</v>
      </c>
      <c r="B153" t="s">
        <v>356</v>
      </c>
      <c r="C153">
        <v>0</v>
      </c>
      <c r="D153" s="43">
        <v>2041.6</v>
      </c>
      <c r="E153" s="43">
        <v>2041.6</v>
      </c>
      <c r="F153">
        <v>0</v>
      </c>
    </row>
    <row r="154" spans="1:6" x14ac:dyDescent="0.25">
      <c r="A154" t="s">
        <v>357</v>
      </c>
      <c r="B154" t="s">
        <v>358</v>
      </c>
      <c r="C154">
        <v>0</v>
      </c>
      <c r="D154" s="43">
        <v>140592</v>
      </c>
      <c r="E154" s="43">
        <v>140592</v>
      </c>
      <c r="F154">
        <v>0</v>
      </c>
    </row>
    <row r="155" spans="1:6" x14ac:dyDescent="0.25">
      <c r="A155" t="s">
        <v>359</v>
      </c>
      <c r="B155" t="s">
        <v>360</v>
      </c>
      <c r="C155" s="43">
        <v>-7167.64</v>
      </c>
      <c r="D155">
        <v>0</v>
      </c>
      <c r="E155">
        <v>0</v>
      </c>
      <c r="F155" s="43">
        <v>-7167.64</v>
      </c>
    </row>
    <row r="156" spans="1:6" x14ac:dyDescent="0.25">
      <c r="A156" t="s">
        <v>361</v>
      </c>
      <c r="B156" t="s">
        <v>362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t="s">
        <v>363</v>
      </c>
      <c r="B157" t="s">
        <v>364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t="s">
        <v>365</v>
      </c>
      <c r="B158" t="s">
        <v>366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t="s">
        <v>367</v>
      </c>
      <c r="B159" t="s">
        <v>368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t="s">
        <v>369</v>
      </c>
      <c r="B160" t="s">
        <v>370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t="s">
        <v>371</v>
      </c>
      <c r="B161" t="s">
        <v>372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t="s">
        <v>373</v>
      </c>
      <c r="B162" t="s">
        <v>374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t="s">
        <v>375</v>
      </c>
      <c r="B163" t="s">
        <v>376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t="s">
        <v>377</v>
      </c>
      <c r="B164" t="s">
        <v>378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t="s">
        <v>379</v>
      </c>
      <c r="B165" t="s">
        <v>380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t="s">
        <v>381</v>
      </c>
      <c r="B166" t="s">
        <v>382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t="s">
        <v>383</v>
      </c>
      <c r="B167" t="s">
        <v>384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t="s">
        <v>385</v>
      </c>
      <c r="B168" t="s">
        <v>386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t="s">
        <v>387</v>
      </c>
      <c r="B169" t="s">
        <v>388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t="s">
        <v>389</v>
      </c>
      <c r="B170" t="s">
        <v>390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t="s">
        <v>391</v>
      </c>
      <c r="B171" t="s">
        <v>392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t="s">
        <v>393</v>
      </c>
      <c r="B172" t="s">
        <v>394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t="s">
        <v>395</v>
      </c>
      <c r="B173" t="s">
        <v>396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t="s">
        <v>397</v>
      </c>
      <c r="B174" t="s">
        <v>398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t="s">
        <v>399</v>
      </c>
      <c r="B175" t="s">
        <v>400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t="s">
        <v>401</v>
      </c>
      <c r="B176" t="s">
        <v>402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t="s">
        <v>403</v>
      </c>
      <c r="B177" t="s">
        <v>404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t="s">
        <v>405</v>
      </c>
      <c r="B178" t="s">
        <v>406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t="s">
        <v>407</v>
      </c>
      <c r="B179" t="s">
        <v>408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t="s">
        <v>409</v>
      </c>
      <c r="B180" t="s">
        <v>410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t="s">
        <v>411</v>
      </c>
      <c r="B181" t="s">
        <v>412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t="s">
        <v>413</v>
      </c>
      <c r="B182" t="s">
        <v>414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t="s">
        <v>415</v>
      </c>
      <c r="B183" t="s">
        <v>416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t="s">
        <v>417</v>
      </c>
      <c r="B184" t="s">
        <v>418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t="s">
        <v>419</v>
      </c>
      <c r="B185" t="s">
        <v>420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t="s">
        <v>421</v>
      </c>
      <c r="B186" t="s">
        <v>422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t="s">
        <v>423</v>
      </c>
      <c r="B187" t="s">
        <v>424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t="s">
        <v>425</v>
      </c>
      <c r="B188" t="s">
        <v>426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t="s">
        <v>427</v>
      </c>
      <c r="B189" t="s">
        <v>428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t="s">
        <v>429</v>
      </c>
      <c r="B190" t="s">
        <v>430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t="s">
        <v>431</v>
      </c>
      <c r="B191" t="s">
        <v>432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t="s">
        <v>433</v>
      </c>
      <c r="B192" t="s">
        <v>434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t="s">
        <v>435</v>
      </c>
      <c r="B193" t="s">
        <v>436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t="s">
        <v>437</v>
      </c>
      <c r="B194" t="s">
        <v>438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t="s">
        <v>439</v>
      </c>
      <c r="B195" t="s">
        <v>440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t="s">
        <v>441</v>
      </c>
      <c r="B196" t="s">
        <v>442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t="s">
        <v>443</v>
      </c>
      <c r="B197" t="s">
        <v>444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t="s">
        <v>445</v>
      </c>
      <c r="B198" t="s">
        <v>446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t="s">
        <v>447</v>
      </c>
      <c r="B199" t="s">
        <v>448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t="s">
        <v>449</v>
      </c>
      <c r="B200" t="s">
        <v>450</v>
      </c>
      <c r="C200" s="43">
        <v>-655360.17000000004</v>
      </c>
      <c r="D200" s="43">
        <v>1545456.29</v>
      </c>
      <c r="E200" s="43">
        <v>1545456.29</v>
      </c>
      <c r="F200" s="43">
        <v>-655360.17000000004</v>
      </c>
    </row>
    <row r="201" spans="1:6" x14ac:dyDescent="0.25">
      <c r="A201" t="s">
        <v>451</v>
      </c>
      <c r="B201" t="s">
        <v>452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t="s">
        <v>453</v>
      </c>
      <c r="B202" t="s">
        <v>454</v>
      </c>
      <c r="C202">
        <v>0</v>
      </c>
      <c r="D202" s="43">
        <v>67571.38</v>
      </c>
      <c r="E202" s="43">
        <v>67571.38</v>
      </c>
      <c r="F202">
        <v>0</v>
      </c>
    </row>
    <row r="203" spans="1:6" x14ac:dyDescent="0.25">
      <c r="A203" t="s">
        <v>455</v>
      </c>
      <c r="B203" t="s">
        <v>166</v>
      </c>
      <c r="C203" s="43">
        <v>-653861.44999999995</v>
      </c>
      <c r="D203" s="43">
        <v>1080575.44</v>
      </c>
      <c r="E203" s="43">
        <v>1080575.44</v>
      </c>
      <c r="F203" s="43">
        <v>-653861.44999999995</v>
      </c>
    </row>
    <row r="204" spans="1:6" x14ac:dyDescent="0.25">
      <c r="A204" t="s">
        <v>456</v>
      </c>
      <c r="B204" t="s">
        <v>322</v>
      </c>
      <c r="C204" s="43">
        <v>-1498.72</v>
      </c>
      <c r="D204" s="43">
        <v>246509.47</v>
      </c>
      <c r="E204" s="43">
        <v>246509.47</v>
      </c>
      <c r="F204" s="43">
        <v>-1498.72</v>
      </c>
    </row>
    <row r="205" spans="1:6" x14ac:dyDescent="0.25">
      <c r="A205" t="s">
        <v>457</v>
      </c>
      <c r="B205" t="s">
        <v>458</v>
      </c>
      <c r="C205">
        <v>0</v>
      </c>
      <c r="D205" s="43">
        <v>150800</v>
      </c>
      <c r="E205" s="43">
        <v>150800</v>
      </c>
      <c r="F205">
        <v>0</v>
      </c>
    </row>
    <row r="206" spans="1:6" x14ac:dyDescent="0.25">
      <c r="A206" t="s">
        <v>459</v>
      </c>
      <c r="B206" t="s">
        <v>460</v>
      </c>
      <c r="C206" s="43">
        <v>539081.26</v>
      </c>
      <c r="D206" s="43">
        <v>435633.45</v>
      </c>
      <c r="E206" s="43">
        <v>30000</v>
      </c>
      <c r="F206" s="43">
        <v>133447.81</v>
      </c>
    </row>
    <row r="207" spans="1:6" x14ac:dyDescent="0.25">
      <c r="A207" t="s">
        <v>461</v>
      </c>
      <c r="B207" t="s">
        <v>462</v>
      </c>
      <c r="C207" s="43">
        <v>30000</v>
      </c>
      <c r="D207">
        <v>0</v>
      </c>
      <c r="E207" s="43">
        <v>30000</v>
      </c>
      <c r="F207" s="43">
        <v>60000</v>
      </c>
    </row>
    <row r="208" spans="1:6" x14ac:dyDescent="0.25">
      <c r="A208" t="s">
        <v>463</v>
      </c>
      <c r="B208" t="s">
        <v>464</v>
      </c>
      <c r="C208" s="43">
        <v>30000</v>
      </c>
      <c r="D208">
        <v>0</v>
      </c>
      <c r="E208">
        <v>0</v>
      </c>
      <c r="F208" s="43">
        <v>30000</v>
      </c>
    </row>
    <row r="209" spans="1:6" x14ac:dyDescent="0.25">
      <c r="A209" t="s">
        <v>465</v>
      </c>
      <c r="B209" t="s">
        <v>466</v>
      </c>
      <c r="C209">
        <v>0</v>
      </c>
      <c r="D209">
        <v>0</v>
      </c>
      <c r="E209" s="43">
        <v>30000</v>
      </c>
      <c r="F209" s="43">
        <v>30000</v>
      </c>
    </row>
    <row r="210" spans="1:6" x14ac:dyDescent="0.25">
      <c r="A210" t="s">
        <v>467</v>
      </c>
      <c r="B210" t="s">
        <v>468</v>
      </c>
      <c r="C210" s="43">
        <v>509081.26</v>
      </c>
      <c r="D210" s="43">
        <v>435633.45</v>
      </c>
      <c r="E210">
        <v>0</v>
      </c>
      <c r="F210" s="43">
        <v>73447.81</v>
      </c>
    </row>
    <row r="211" spans="1:6" x14ac:dyDescent="0.25">
      <c r="A211" t="s">
        <v>469</v>
      </c>
      <c r="B211" t="s">
        <v>470</v>
      </c>
      <c r="C211" s="43">
        <v>509081.26</v>
      </c>
      <c r="D211" s="43">
        <v>435633.45</v>
      </c>
      <c r="E211">
        <v>0</v>
      </c>
      <c r="F211" s="43">
        <v>73447.81</v>
      </c>
    </row>
    <row r="212" spans="1:6" x14ac:dyDescent="0.25">
      <c r="A212" t="s">
        <v>471</v>
      </c>
      <c r="B212" t="s">
        <v>472</v>
      </c>
      <c r="C212" s="43">
        <v>2438294.77</v>
      </c>
      <c r="D212" s="43">
        <v>2438294.77</v>
      </c>
      <c r="E212" s="43">
        <v>2014885.87</v>
      </c>
      <c r="F212" s="43">
        <v>2014885.87</v>
      </c>
    </row>
    <row r="213" spans="1:6" x14ac:dyDescent="0.25">
      <c r="A213" t="s">
        <v>473</v>
      </c>
      <c r="B213" t="s">
        <v>87</v>
      </c>
      <c r="C213" s="43">
        <v>1043995.77</v>
      </c>
      <c r="D213" s="43">
        <v>1043995.77</v>
      </c>
      <c r="E213" s="43">
        <v>824994.77</v>
      </c>
      <c r="F213" s="43">
        <v>824994.77</v>
      </c>
    </row>
    <row r="214" spans="1:6" x14ac:dyDescent="0.25">
      <c r="A214" t="s">
        <v>474</v>
      </c>
      <c r="B214" t="s">
        <v>89</v>
      </c>
      <c r="C214" s="43">
        <v>632610</v>
      </c>
      <c r="D214" s="43">
        <v>632610</v>
      </c>
      <c r="E214" s="43">
        <v>657779</v>
      </c>
      <c r="F214" s="43">
        <v>657779</v>
      </c>
    </row>
    <row r="215" spans="1:6" x14ac:dyDescent="0.25">
      <c r="A215" t="s">
        <v>475</v>
      </c>
      <c r="B215" t="s">
        <v>91</v>
      </c>
      <c r="C215" s="43">
        <v>761689</v>
      </c>
      <c r="D215" s="43">
        <v>761689</v>
      </c>
      <c r="E215" s="43">
        <v>532112.1</v>
      </c>
      <c r="F215" s="43">
        <v>532112.1</v>
      </c>
    </row>
    <row r="216" spans="1:6" x14ac:dyDescent="0.25">
      <c r="A216" t="s">
        <v>476</v>
      </c>
      <c r="B216" t="s">
        <v>477</v>
      </c>
      <c r="C216" s="43">
        <v>1897.99</v>
      </c>
      <c r="D216" s="43">
        <v>409784.74</v>
      </c>
      <c r="E216" s="43">
        <v>409784.44</v>
      </c>
      <c r="F216" s="43">
        <v>1897.69</v>
      </c>
    </row>
    <row r="217" spans="1:6" x14ac:dyDescent="0.25">
      <c r="A217" t="s">
        <v>478</v>
      </c>
      <c r="B217" t="s">
        <v>479</v>
      </c>
      <c r="C217" s="43">
        <v>1897.99</v>
      </c>
      <c r="D217" s="43">
        <v>409784.74</v>
      </c>
      <c r="E217" s="43">
        <v>409784.44</v>
      </c>
      <c r="F217" s="43">
        <v>1897.69</v>
      </c>
    </row>
    <row r="218" spans="1:6" x14ac:dyDescent="0.25">
      <c r="A218" t="s">
        <v>480</v>
      </c>
      <c r="B218" t="s">
        <v>481</v>
      </c>
      <c r="C218" s="43">
        <v>44878.45</v>
      </c>
      <c r="D218" s="43">
        <v>44878.45</v>
      </c>
      <c r="E218" s="43">
        <v>192120.43</v>
      </c>
      <c r="F218" s="43">
        <v>192120.43</v>
      </c>
    </row>
    <row r="219" spans="1:6" x14ac:dyDescent="0.25">
      <c r="A219" t="s">
        <v>482</v>
      </c>
      <c r="B219" t="s">
        <v>483</v>
      </c>
      <c r="C219" s="43">
        <v>44878.45</v>
      </c>
      <c r="D219" s="43">
        <v>44878.45</v>
      </c>
      <c r="E219" s="43">
        <v>49331.08</v>
      </c>
      <c r="F219" s="43">
        <v>49331.08</v>
      </c>
    </row>
    <row r="220" spans="1:6" x14ac:dyDescent="0.25">
      <c r="A220" t="s">
        <v>484</v>
      </c>
      <c r="B220" t="s">
        <v>485</v>
      </c>
      <c r="C220">
        <v>0</v>
      </c>
      <c r="D220">
        <v>0</v>
      </c>
      <c r="E220" s="43">
        <v>89707.81</v>
      </c>
      <c r="F220" s="43">
        <v>89707.81</v>
      </c>
    </row>
    <row r="221" spans="1:6" x14ac:dyDescent="0.25">
      <c r="A221" t="s">
        <v>486</v>
      </c>
      <c r="B221" t="s">
        <v>487</v>
      </c>
      <c r="C221">
        <v>0</v>
      </c>
      <c r="D221">
        <v>0</v>
      </c>
      <c r="E221" s="43">
        <v>53081.54</v>
      </c>
      <c r="F221" s="43">
        <v>53081.54</v>
      </c>
    </row>
    <row r="222" spans="1:6" x14ac:dyDescent="0.25">
      <c r="A222" t="s">
        <v>488</v>
      </c>
      <c r="B222" t="s">
        <v>489</v>
      </c>
      <c r="C222" s="43">
        <v>16897</v>
      </c>
      <c r="D222" s="43">
        <v>16897</v>
      </c>
      <c r="E222" s="43">
        <v>17059</v>
      </c>
      <c r="F222" s="43">
        <v>17059</v>
      </c>
    </row>
    <row r="223" spans="1:6" x14ac:dyDescent="0.25">
      <c r="A223" t="s">
        <v>490</v>
      </c>
      <c r="B223" t="s">
        <v>491</v>
      </c>
      <c r="C223" s="43">
        <v>46149.51</v>
      </c>
      <c r="D223">
        <v>0</v>
      </c>
      <c r="E223">
        <v>0</v>
      </c>
      <c r="F223" s="43">
        <v>46149.51</v>
      </c>
    </row>
    <row r="224" spans="1:6" x14ac:dyDescent="0.25">
      <c r="A224" t="s">
        <v>492</v>
      </c>
      <c r="B224" t="s">
        <v>493</v>
      </c>
      <c r="C224" s="43">
        <v>-29252.51</v>
      </c>
      <c r="D224" s="43">
        <v>16897</v>
      </c>
      <c r="E224" s="43">
        <v>17059</v>
      </c>
      <c r="F224" s="43">
        <v>-29090.51</v>
      </c>
    </row>
    <row r="225" spans="1:6" x14ac:dyDescent="0.25">
      <c r="A225" t="s">
        <v>494</v>
      </c>
      <c r="B225" t="s">
        <v>495</v>
      </c>
      <c r="C225" s="43">
        <v>211372.48</v>
      </c>
      <c r="D225" s="43">
        <v>71381.289999999994</v>
      </c>
      <c r="E225" s="43">
        <v>74456.960000000006</v>
      </c>
      <c r="F225" s="43">
        <v>214448.15</v>
      </c>
    </row>
    <row r="226" spans="1:6" x14ac:dyDescent="0.25">
      <c r="A226" t="s">
        <v>496</v>
      </c>
      <c r="B226" t="s">
        <v>497</v>
      </c>
      <c r="C226" s="43">
        <v>136295.32999999999</v>
      </c>
      <c r="D226" s="43">
        <v>45795</v>
      </c>
      <c r="E226" s="43">
        <v>48793.85</v>
      </c>
      <c r="F226" s="43">
        <v>139294.18</v>
      </c>
    </row>
    <row r="227" spans="1:6" x14ac:dyDescent="0.25">
      <c r="A227" t="s">
        <v>498</v>
      </c>
      <c r="B227" t="s">
        <v>499</v>
      </c>
      <c r="C227" s="43">
        <v>24918.26</v>
      </c>
      <c r="D227" s="43">
        <v>6176.29</v>
      </c>
      <c r="E227" s="43">
        <v>12756.15</v>
      </c>
      <c r="F227" s="43">
        <v>31498.12</v>
      </c>
    </row>
    <row r="228" spans="1:6" x14ac:dyDescent="0.25">
      <c r="A228" t="s">
        <v>500</v>
      </c>
      <c r="B228" t="s">
        <v>501</v>
      </c>
      <c r="C228" s="43">
        <v>29702.31</v>
      </c>
      <c r="D228" s="43">
        <v>12823</v>
      </c>
      <c r="E228" s="43">
        <v>8252.7800000000007</v>
      </c>
      <c r="F228" s="43">
        <v>25132.09</v>
      </c>
    </row>
    <row r="229" spans="1:6" x14ac:dyDescent="0.25">
      <c r="A229" t="s">
        <v>502</v>
      </c>
      <c r="B229" t="s">
        <v>503</v>
      </c>
      <c r="C229" s="43">
        <v>16567.310000000001</v>
      </c>
      <c r="D229" s="43">
        <v>4865.54</v>
      </c>
      <c r="E229" s="43">
        <v>4075.21</v>
      </c>
      <c r="F229" s="43">
        <v>15776.98</v>
      </c>
    </row>
    <row r="230" spans="1:6" x14ac:dyDescent="0.25">
      <c r="A230" t="s">
        <v>504</v>
      </c>
      <c r="B230" t="s">
        <v>505</v>
      </c>
      <c r="C230" s="43">
        <v>3889.27</v>
      </c>
      <c r="D230" s="43">
        <v>1721.46</v>
      </c>
      <c r="E230">
        <v>578.97</v>
      </c>
      <c r="F230" s="43">
        <v>2746.78</v>
      </c>
    </row>
    <row r="231" spans="1:6" x14ac:dyDescent="0.25">
      <c r="A231" t="s">
        <v>506</v>
      </c>
      <c r="B231" t="s">
        <v>507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t="s">
        <v>508</v>
      </c>
      <c r="B232" t="s">
        <v>509</v>
      </c>
      <c r="C232" s="43">
        <v>-36727.33</v>
      </c>
      <c r="D232">
        <v>0</v>
      </c>
      <c r="E232" s="43">
        <v>1827.88</v>
      </c>
      <c r="F232" s="43">
        <v>-34899.449999999997</v>
      </c>
    </row>
    <row r="233" spans="1:6" x14ac:dyDescent="0.25">
      <c r="A233" t="s">
        <v>510</v>
      </c>
      <c r="B233" t="s">
        <v>511</v>
      </c>
      <c r="C233" s="43">
        <v>-38971.5</v>
      </c>
      <c r="D233">
        <v>0</v>
      </c>
      <c r="E233" s="43">
        <v>1827.88</v>
      </c>
      <c r="F233" s="43">
        <v>-37143.620000000003</v>
      </c>
    </row>
    <row r="234" spans="1:6" x14ac:dyDescent="0.25">
      <c r="A234" t="s">
        <v>512</v>
      </c>
      <c r="B234" t="s">
        <v>513</v>
      </c>
      <c r="C234" s="43">
        <v>2244.17</v>
      </c>
      <c r="D234">
        <v>0</v>
      </c>
      <c r="E234">
        <v>0</v>
      </c>
      <c r="F234" s="43">
        <v>2244.17</v>
      </c>
    </row>
    <row r="235" spans="1:6" x14ac:dyDescent="0.25">
      <c r="A235" t="s">
        <v>514</v>
      </c>
      <c r="B235" t="s">
        <v>515</v>
      </c>
      <c r="C235">
        <v>93.9</v>
      </c>
      <c r="D235">
        <v>0</v>
      </c>
      <c r="E235">
        <v>0</v>
      </c>
      <c r="F235">
        <v>93.9</v>
      </c>
    </row>
    <row r="236" spans="1:6" x14ac:dyDescent="0.25">
      <c r="A236" t="s">
        <v>516</v>
      </c>
      <c r="B236" t="s">
        <v>517</v>
      </c>
      <c r="C236">
        <v>93.9</v>
      </c>
      <c r="D236">
        <v>0</v>
      </c>
      <c r="E236">
        <v>0</v>
      </c>
      <c r="F236">
        <v>93.9</v>
      </c>
    </row>
    <row r="237" spans="1:6" x14ac:dyDescent="0.25">
      <c r="A237" t="s">
        <v>518</v>
      </c>
      <c r="B237" t="s">
        <v>519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t="s">
        <v>520</v>
      </c>
      <c r="B238" t="s">
        <v>519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t="s">
        <v>521</v>
      </c>
      <c r="B239" t="s">
        <v>522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t="s">
        <v>523</v>
      </c>
      <c r="B240" t="s">
        <v>524</v>
      </c>
      <c r="C240" s="43">
        <v>-9408883.7599999998</v>
      </c>
      <c r="D240">
        <v>0</v>
      </c>
      <c r="E240">
        <v>0</v>
      </c>
      <c r="F240" s="43">
        <v>-9408883.7599999998</v>
      </c>
    </row>
    <row r="241" spans="1:6" x14ac:dyDescent="0.25">
      <c r="A241" t="s">
        <v>525</v>
      </c>
      <c r="B241">
        <v>2024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t="s">
        <v>526</v>
      </c>
      <c r="B242">
        <v>2025</v>
      </c>
      <c r="C242" s="43">
        <v>-9408883.7599999998</v>
      </c>
      <c r="D242">
        <v>0</v>
      </c>
      <c r="E242">
        <v>0</v>
      </c>
      <c r="F242" s="43">
        <v>-9408883.7599999998</v>
      </c>
    </row>
    <row r="243" spans="1:6" x14ac:dyDescent="0.25">
      <c r="A243" t="s">
        <v>527</v>
      </c>
      <c r="B243" t="s">
        <v>528</v>
      </c>
      <c r="C243" s="43">
        <v>7126415.9500000002</v>
      </c>
      <c r="D243">
        <v>0</v>
      </c>
      <c r="E243" s="43">
        <v>38601.42</v>
      </c>
      <c r="F243" s="43">
        <v>7165017.3700000001</v>
      </c>
    </row>
    <row r="244" spans="1:6" x14ac:dyDescent="0.25">
      <c r="A244" t="s">
        <v>529</v>
      </c>
      <c r="B244" t="s">
        <v>528</v>
      </c>
      <c r="C244" s="43">
        <v>4555542</v>
      </c>
      <c r="D244">
        <v>0</v>
      </c>
      <c r="E244">
        <v>0</v>
      </c>
      <c r="F244" s="43">
        <v>4555542</v>
      </c>
    </row>
    <row r="245" spans="1:6" x14ac:dyDescent="0.25">
      <c r="A245" t="s">
        <v>530</v>
      </c>
      <c r="B245" t="s">
        <v>531</v>
      </c>
      <c r="C245" s="43">
        <v>2570873.9500000002</v>
      </c>
      <c r="D245">
        <v>0</v>
      </c>
      <c r="E245" s="43">
        <v>38601.42</v>
      </c>
      <c r="F245" s="43">
        <v>2609475.37</v>
      </c>
    </row>
    <row r="246" spans="1:6" x14ac:dyDescent="0.25">
      <c r="A246" t="s">
        <v>532</v>
      </c>
      <c r="B246" t="s">
        <v>533</v>
      </c>
      <c r="C246" s="43">
        <v>12220046.16</v>
      </c>
      <c r="D246">
        <v>0</v>
      </c>
      <c r="E246">
        <v>0</v>
      </c>
      <c r="F246" s="43">
        <v>12220046.16</v>
      </c>
    </row>
    <row r="247" spans="1:6" x14ac:dyDescent="0.25">
      <c r="A247" t="s">
        <v>534</v>
      </c>
      <c r="B247" t="s">
        <v>533</v>
      </c>
      <c r="C247" s="43">
        <v>12220046.16</v>
      </c>
      <c r="D247">
        <v>0</v>
      </c>
      <c r="E247">
        <v>0</v>
      </c>
      <c r="F247" s="43">
        <v>12220046.16</v>
      </c>
    </row>
    <row r="248" spans="1:6" x14ac:dyDescent="0.25">
      <c r="A248" t="s">
        <v>535</v>
      </c>
      <c r="B248" t="s">
        <v>536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t="s">
        <v>537</v>
      </c>
      <c r="B249" t="s">
        <v>536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t="s">
        <v>538</v>
      </c>
      <c r="B250" t="s">
        <v>539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t="s">
        <v>540</v>
      </c>
      <c r="B251" t="s">
        <v>541</v>
      </c>
      <c r="C251" s="43">
        <v>9251448</v>
      </c>
      <c r="D251">
        <v>0</v>
      </c>
      <c r="E251" s="43">
        <v>3100909</v>
      </c>
      <c r="F251" s="43">
        <v>12352357</v>
      </c>
    </row>
    <row r="252" spans="1:6" x14ac:dyDescent="0.25">
      <c r="A252" t="s">
        <v>542</v>
      </c>
      <c r="B252" t="s">
        <v>543</v>
      </c>
      <c r="C252" s="43">
        <v>9251448</v>
      </c>
      <c r="D252">
        <v>0</v>
      </c>
      <c r="E252" s="43">
        <v>3100909</v>
      </c>
      <c r="F252" s="43">
        <v>12352357</v>
      </c>
    </row>
    <row r="253" spans="1:6" x14ac:dyDescent="0.25">
      <c r="A253" t="s">
        <v>544</v>
      </c>
      <c r="B253" t="s">
        <v>545</v>
      </c>
      <c r="C253" s="43">
        <v>9536943</v>
      </c>
      <c r="D253">
        <v>0</v>
      </c>
      <c r="E253" s="43">
        <v>3178981</v>
      </c>
      <c r="F253" s="43">
        <v>12715924</v>
      </c>
    </row>
    <row r="254" spans="1:6" x14ac:dyDescent="0.25">
      <c r="A254" t="s">
        <v>546</v>
      </c>
      <c r="B254" t="s">
        <v>547</v>
      </c>
      <c r="C254" s="43">
        <v>2401</v>
      </c>
      <c r="D254">
        <v>0</v>
      </c>
      <c r="E254" s="43">
        <v>1414</v>
      </c>
      <c r="F254" s="43">
        <v>3815</v>
      </c>
    </row>
    <row r="255" spans="1:6" x14ac:dyDescent="0.25">
      <c r="A255" t="s">
        <v>548</v>
      </c>
      <c r="B255" t="s">
        <v>549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t="s">
        <v>550</v>
      </c>
      <c r="B256" t="s">
        <v>551</v>
      </c>
      <c r="C256" s="43">
        <v>32000</v>
      </c>
      <c r="D256">
        <v>0</v>
      </c>
      <c r="E256" s="43">
        <v>30000</v>
      </c>
      <c r="F256" s="43">
        <v>62000</v>
      </c>
    </row>
    <row r="257" spans="1:6" x14ac:dyDescent="0.25">
      <c r="A257" t="s">
        <v>552</v>
      </c>
      <c r="B257" t="s">
        <v>553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t="s">
        <v>554</v>
      </c>
      <c r="B258" t="s">
        <v>555</v>
      </c>
      <c r="C258" s="43">
        <v>1200</v>
      </c>
      <c r="D258">
        <v>0</v>
      </c>
      <c r="E258">
        <v>0</v>
      </c>
      <c r="F258" s="43">
        <v>1200</v>
      </c>
    </row>
    <row r="259" spans="1:6" x14ac:dyDescent="0.25">
      <c r="A259" t="s">
        <v>556</v>
      </c>
      <c r="B259" t="s">
        <v>557</v>
      </c>
      <c r="C259" s="43">
        <v>-923796</v>
      </c>
      <c r="D259">
        <v>0</v>
      </c>
      <c r="E259" s="43">
        <v>-301936</v>
      </c>
      <c r="F259" s="43">
        <v>-1225732</v>
      </c>
    </row>
    <row r="260" spans="1:6" x14ac:dyDescent="0.25">
      <c r="A260" t="s">
        <v>558</v>
      </c>
      <c r="B260" t="s">
        <v>559</v>
      </c>
      <c r="C260" s="43">
        <v>544500</v>
      </c>
      <c r="D260">
        <v>0</v>
      </c>
      <c r="E260" s="43">
        <v>181500</v>
      </c>
      <c r="F260" s="43">
        <v>726000</v>
      </c>
    </row>
    <row r="261" spans="1:6" x14ac:dyDescent="0.25">
      <c r="A261" t="s">
        <v>560</v>
      </c>
      <c r="B261" t="s">
        <v>561</v>
      </c>
      <c r="C261" s="43">
        <v>58200</v>
      </c>
      <c r="D261">
        <v>0</v>
      </c>
      <c r="E261" s="43">
        <v>10950</v>
      </c>
      <c r="F261" s="43">
        <v>69150</v>
      </c>
    </row>
    <row r="262" spans="1:6" x14ac:dyDescent="0.25">
      <c r="A262" t="s">
        <v>562</v>
      </c>
      <c r="B262" t="s">
        <v>563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t="s">
        <v>564</v>
      </c>
      <c r="B263" t="s">
        <v>565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t="s">
        <v>566</v>
      </c>
      <c r="B264" t="s">
        <v>567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t="s">
        <v>568</v>
      </c>
      <c r="B265" t="s">
        <v>569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t="s">
        <v>570</v>
      </c>
      <c r="B266" t="s">
        <v>571</v>
      </c>
      <c r="C266" s="43">
        <v>3085500</v>
      </c>
      <c r="D266">
        <v>0</v>
      </c>
      <c r="E266" s="43">
        <v>1028500</v>
      </c>
      <c r="F266" s="43">
        <v>4114000</v>
      </c>
    </row>
    <row r="267" spans="1:6" x14ac:dyDescent="0.25">
      <c r="A267" t="s">
        <v>572</v>
      </c>
      <c r="B267" t="s">
        <v>571</v>
      </c>
      <c r="C267" s="43">
        <v>3085500</v>
      </c>
      <c r="D267">
        <v>0</v>
      </c>
      <c r="E267" s="43">
        <v>1028500</v>
      </c>
      <c r="F267" s="43">
        <v>4114000</v>
      </c>
    </row>
    <row r="268" spans="1:6" x14ac:dyDescent="0.25">
      <c r="A268" t="s">
        <v>573</v>
      </c>
      <c r="B268" t="s">
        <v>571</v>
      </c>
      <c r="C268" s="43">
        <v>3085500</v>
      </c>
      <c r="D268">
        <v>0</v>
      </c>
      <c r="E268" s="43">
        <v>1028500</v>
      </c>
      <c r="F268" s="43">
        <v>4114000</v>
      </c>
    </row>
    <row r="269" spans="1:6" x14ac:dyDescent="0.25">
      <c r="A269" t="s">
        <v>574</v>
      </c>
      <c r="B269" t="s">
        <v>575</v>
      </c>
      <c r="C269" s="43">
        <v>93319.92</v>
      </c>
      <c r="D269">
        <v>0</v>
      </c>
      <c r="E269" s="43">
        <v>27628.43</v>
      </c>
      <c r="F269" s="43">
        <v>120948.35</v>
      </c>
    </row>
    <row r="270" spans="1:6" x14ac:dyDescent="0.25">
      <c r="A270" t="s">
        <v>576</v>
      </c>
      <c r="B270" t="s">
        <v>577</v>
      </c>
      <c r="C270" s="43">
        <v>93319.92</v>
      </c>
      <c r="D270">
        <v>0</v>
      </c>
      <c r="E270" s="43">
        <v>27628.43</v>
      </c>
      <c r="F270" s="43">
        <v>120948.35</v>
      </c>
    </row>
    <row r="271" spans="1:6" x14ac:dyDescent="0.25">
      <c r="A271" t="s">
        <v>578</v>
      </c>
      <c r="B271" t="s">
        <v>579</v>
      </c>
      <c r="C271" s="43">
        <v>69106.850000000006</v>
      </c>
      <c r="D271">
        <v>0</v>
      </c>
      <c r="E271" s="43">
        <v>21676.47</v>
      </c>
      <c r="F271" s="43">
        <v>90783.32</v>
      </c>
    </row>
    <row r="272" spans="1:6" x14ac:dyDescent="0.25">
      <c r="A272" t="s">
        <v>580</v>
      </c>
      <c r="B272" t="s">
        <v>581</v>
      </c>
      <c r="C272" s="43">
        <v>24213.07</v>
      </c>
      <c r="D272">
        <v>0</v>
      </c>
      <c r="E272" s="43">
        <v>5951.96</v>
      </c>
      <c r="F272" s="43">
        <v>30165.03</v>
      </c>
    </row>
    <row r="273" spans="1:6" x14ac:dyDescent="0.25">
      <c r="A273" t="s">
        <v>582</v>
      </c>
      <c r="B273" t="s">
        <v>583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t="s">
        <v>584</v>
      </c>
      <c r="B274" t="s">
        <v>585</v>
      </c>
      <c r="C274">
        <v>0</v>
      </c>
      <c r="D274">
        <v>0</v>
      </c>
      <c r="E274" s="43">
        <v>435633.45</v>
      </c>
      <c r="F274" s="43">
        <v>435633.45</v>
      </c>
    </row>
    <row r="275" spans="1:6" x14ac:dyDescent="0.25">
      <c r="A275" t="s">
        <v>586</v>
      </c>
      <c r="B275" t="s">
        <v>585</v>
      </c>
      <c r="C275">
        <v>0</v>
      </c>
      <c r="D275">
        <v>0</v>
      </c>
      <c r="E275" s="43">
        <v>435633.45</v>
      </c>
      <c r="F275" s="43">
        <v>435633.45</v>
      </c>
    </row>
    <row r="276" spans="1:6" x14ac:dyDescent="0.25">
      <c r="A276" t="s">
        <v>587</v>
      </c>
      <c r="B276" t="s">
        <v>588</v>
      </c>
      <c r="C276">
        <v>0</v>
      </c>
      <c r="D276">
        <v>0</v>
      </c>
      <c r="E276" s="43">
        <v>435633.45</v>
      </c>
      <c r="F276" s="43">
        <v>435633.45</v>
      </c>
    </row>
    <row r="277" spans="1:6" x14ac:dyDescent="0.25">
      <c r="A277" t="s">
        <v>589</v>
      </c>
      <c r="B277" t="s">
        <v>590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t="s">
        <v>591</v>
      </c>
      <c r="B278" t="s">
        <v>585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t="s">
        <v>592</v>
      </c>
      <c r="B279" t="s">
        <v>593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t="s">
        <v>594</v>
      </c>
      <c r="B280" t="s">
        <v>595</v>
      </c>
      <c r="C280" s="43">
        <v>1703333.47</v>
      </c>
      <c r="D280" s="43">
        <v>696591.75</v>
      </c>
      <c r="E280">
        <v>0</v>
      </c>
      <c r="F280" s="43">
        <v>2399925.2200000002</v>
      </c>
    </row>
    <row r="281" spans="1:6" x14ac:dyDescent="0.25">
      <c r="A281" t="s">
        <v>596</v>
      </c>
      <c r="B281" t="s">
        <v>597</v>
      </c>
      <c r="C281" s="43">
        <v>1416875.35</v>
      </c>
      <c r="D281" s="43">
        <v>487412.32</v>
      </c>
      <c r="E281">
        <v>0</v>
      </c>
      <c r="F281" s="43">
        <v>1904287.67</v>
      </c>
    </row>
    <row r="282" spans="1:6" x14ac:dyDescent="0.25">
      <c r="A282" t="s">
        <v>598</v>
      </c>
      <c r="B282" t="s">
        <v>599</v>
      </c>
      <c r="C282" s="43">
        <v>1353318.45</v>
      </c>
      <c r="D282" s="43">
        <v>479584.55</v>
      </c>
      <c r="E282">
        <v>0</v>
      </c>
      <c r="F282" s="43">
        <v>1832903</v>
      </c>
    </row>
    <row r="283" spans="1:6" x14ac:dyDescent="0.25">
      <c r="A283" t="s">
        <v>600</v>
      </c>
      <c r="B283" t="s">
        <v>601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t="s">
        <v>602</v>
      </c>
      <c r="B284" t="s">
        <v>603</v>
      </c>
      <c r="C284" s="43">
        <v>22796.87</v>
      </c>
      <c r="D284">
        <v>839.59</v>
      </c>
      <c r="E284">
        <v>0</v>
      </c>
      <c r="F284" s="43">
        <v>23636.46</v>
      </c>
    </row>
    <row r="285" spans="1:6" x14ac:dyDescent="0.25">
      <c r="A285" t="s">
        <v>604</v>
      </c>
      <c r="B285" t="s">
        <v>605</v>
      </c>
      <c r="C285" s="43">
        <v>11197.64</v>
      </c>
      <c r="D285" s="43">
        <v>3636.4</v>
      </c>
      <c r="E285">
        <v>0</v>
      </c>
      <c r="F285" s="43">
        <v>14834.04</v>
      </c>
    </row>
    <row r="286" spans="1:6" x14ac:dyDescent="0.25">
      <c r="A286" t="s">
        <v>606</v>
      </c>
      <c r="B286" t="s">
        <v>607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t="s">
        <v>608</v>
      </c>
      <c r="B287" t="s">
        <v>609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t="s">
        <v>610</v>
      </c>
      <c r="B288" t="s">
        <v>611</v>
      </c>
      <c r="C288" s="43">
        <v>3998.54</v>
      </c>
      <c r="D288" s="43">
        <v>3351.78</v>
      </c>
      <c r="E288">
        <v>0</v>
      </c>
      <c r="F288" s="43">
        <v>7350.32</v>
      </c>
    </row>
    <row r="289" spans="1:6" x14ac:dyDescent="0.25">
      <c r="A289" t="s">
        <v>612</v>
      </c>
      <c r="B289" t="s">
        <v>613</v>
      </c>
      <c r="C289">
        <v>823.32</v>
      </c>
      <c r="D289">
        <v>0</v>
      </c>
      <c r="E289">
        <v>0</v>
      </c>
      <c r="F289">
        <v>823.32</v>
      </c>
    </row>
    <row r="290" spans="1:6" x14ac:dyDescent="0.25">
      <c r="A290" t="s">
        <v>614</v>
      </c>
      <c r="B290" t="s">
        <v>615</v>
      </c>
      <c r="C290" s="43">
        <v>1577.73</v>
      </c>
      <c r="D290">
        <v>0</v>
      </c>
      <c r="E290">
        <v>0</v>
      </c>
      <c r="F290" s="43">
        <v>1577.73</v>
      </c>
    </row>
    <row r="291" spans="1:6" x14ac:dyDescent="0.25">
      <c r="A291" t="s">
        <v>616</v>
      </c>
      <c r="B291" t="s">
        <v>617</v>
      </c>
      <c r="C291" s="43">
        <v>23162.799999999999</v>
      </c>
      <c r="D291">
        <v>0</v>
      </c>
      <c r="E291">
        <v>0</v>
      </c>
      <c r="F291" s="43">
        <v>23162.799999999999</v>
      </c>
    </row>
    <row r="292" spans="1:6" x14ac:dyDescent="0.25">
      <c r="A292" t="s">
        <v>618</v>
      </c>
      <c r="B292" t="s">
        <v>619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t="s">
        <v>620</v>
      </c>
      <c r="B293" t="s">
        <v>621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t="s">
        <v>622</v>
      </c>
      <c r="B294" t="s">
        <v>623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t="s">
        <v>624</v>
      </c>
      <c r="B295" t="s">
        <v>625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t="s">
        <v>626</v>
      </c>
      <c r="B296" t="s">
        <v>627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t="s">
        <v>628</v>
      </c>
      <c r="B297" t="s">
        <v>629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t="s">
        <v>630</v>
      </c>
      <c r="B298" t="s">
        <v>631</v>
      </c>
      <c r="C298" s="43">
        <v>286458.12</v>
      </c>
      <c r="D298" s="43">
        <v>209179.43</v>
      </c>
      <c r="E298">
        <v>0</v>
      </c>
      <c r="F298" s="43">
        <v>495637.55</v>
      </c>
    </row>
    <row r="299" spans="1:6" x14ac:dyDescent="0.25">
      <c r="A299" t="s">
        <v>632</v>
      </c>
      <c r="B299" t="s">
        <v>633</v>
      </c>
      <c r="C299" s="43">
        <v>131763.35999999999</v>
      </c>
      <c r="D299" s="43">
        <v>49331.08</v>
      </c>
      <c r="E299">
        <v>0</v>
      </c>
      <c r="F299" s="43">
        <v>181094.44</v>
      </c>
    </row>
    <row r="300" spans="1:6" x14ac:dyDescent="0.25">
      <c r="A300" t="s">
        <v>634</v>
      </c>
      <c r="B300" t="s">
        <v>635</v>
      </c>
      <c r="C300" s="43">
        <v>78719.27</v>
      </c>
      <c r="D300" s="43">
        <v>89707.81</v>
      </c>
      <c r="E300">
        <v>0</v>
      </c>
      <c r="F300" s="43">
        <v>168427.08</v>
      </c>
    </row>
    <row r="301" spans="1:6" x14ac:dyDescent="0.25">
      <c r="A301" t="s">
        <v>636</v>
      </c>
      <c r="B301" t="s">
        <v>637</v>
      </c>
      <c r="C301" s="43">
        <v>45697</v>
      </c>
      <c r="D301" s="43">
        <v>53081.54</v>
      </c>
      <c r="E301">
        <v>0</v>
      </c>
      <c r="F301" s="43">
        <v>98778.54</v>
      </c>
    </row>
    <row r="302" spans="1:6" x14ac:dyDescent="0.25">
      <c r="A302" t="s">
        <v>638</v>
      </c>
      <c r="B302" t="s">
        <v>639</v>
      </c>
      <c r="C302" s="43">
        <v>30278.49</v>
      </c>
      <c r="D302" s="43">
        <v>17059</v>
      </c>
      <c r="E302">
        <v>0</v>
      </c>
      <c r="F302" s="43">
        <v>47337.49</v>
      </c>
    </row>
    <row r="303" spans="1:6" x14ac:dyDescent="0.25">
      <c r="A303" t="s">
        <v>640</v>
      </c>
      <c r="B303" t="s">
        <v>641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t="s">
        <v>642</v>
      </c>
      <c r="B304" t="s">
        <v>643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t="s">
        <v>644</v>
      </c>
      <c r="B305" t="s">
        <v>645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t="s">
        <v>646</v>
      </c>
      <c r="B306" t="s">
        <v>647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t="s">
        <v>648</v>
      </c>
      <c r="B307" t="s">
        <v>649</v>
      </c>
      <c r="C307" s="43">
        <v>389966.82</v>
      </c>
      <c r="D307" s="43">
        <v>114426.9</v>
      </c>
      <c r="E307">
        <v>0</v>
      </c>
      <c r="F307" s="43">
        <v>504393.72</v>
      </c>
    </row>
    <row r="308" spans="1:6" x14ac:dyDescent="0.25">
      <c r="A308" t="s">
        <v>650</v>
      </c>
      <c r="B308" t="s">
        <v>651</v>
      </c>
      <c r="C308" s="43">
        <v>322050.78000000003</v>
      </c>
      <c r="D308" s="43">
        <v>107350.26</v>
      </c>
      <c r="E308">
        <v>0</v>
      </c>
      <c r="F308" s="43">
        <v>429401.04</v>
      </c>
    </row>
    <row r="309" spans="1:6" x14ac:dyDescent="0.25">
      <c r="A309" t="s">
        <v>652</v>
      </c>
      <c r="B309" t="s">
        <v>653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t="s">
        <v>654</v>
      </c>
      <c r="B310" t="s">
        <v>655</v>
      </c>
      <c r="C310" s="43">
        <v>322050.78000000003</v>
      </c>
      <c r="D310" s="43">
        <v>107350.26</v>
      </c>
      <c r="E310">
        <v>0</v>
      </c>
      <c r="F310" s="43">
        <v>429401.04</v>
      </c>
    </row>
    <row r="311" spans="1:6" x14ac:dyDescent="0.25">
      <c r="A311" t="s">
        <v>656</v>
      </c>
      <c r="B311" t="s">
        <v>657</v>
      </c>
      <c r="C311" s="43">
        <v>11600</v>
      </c>
      <c r="D311">
        <v>0</v>
      </c>
      <c r="E311">
        <v>0</v>
      </c>
      <c r="F311" s="43">
        <v>11600</v>
      </c>
    </row>
    <row r="312" spans="1:6" x14ac:dyDescent="0.25">
      <c r="A312" t="s">
        <v>658</v>
      </c>
      <c r="B312" t="s">
        <v>659</v>
      </c>
      <c r="C312" s="43">
        <v>11600</v>
      </c>
      <c r="D312">
        <v>0</v>
      </c>
      <c r="E312">
        <v>0</v>
      </c>
      <c r="F312" s="43">
        <v>11600</v>
      </c>
    </row>
    <row r="313" spans="1:6" x14ac:dyDescent="0.25">
      <c r="A313" t="s">
        <v>660</v>
      </c>
      <c r="B313" t="s">
        <v>661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t="s">
        <v>662</v>
      </c>
      <c r="B314" t="s">
        <v>663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t="s">
        <v>664</v>
      </c>
      <c r="B315" t="s">
        <v>665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t="s">
        <v>666</v>
      </c>
      <c r="B316" t="s">
        <v>667</v>
      </c>
      <c r="C316" s="43">
        <v>56316.04</v>
      </c>
      <c r="D316" s="43">
        <v>7076.64</v>
      </c>
      <c r="E316">
        <v>0</v>
      </c>
      <c r="F316" s="43">
        <v>63392.68</v>
      </c>
    </row>
    <row r="317" spans="1:6" x14ac:dyDescent="0.25">
      <c r="A317" t="s">
        <v>668</v>
      </c>
      <c r="B317" t="s">
        <v>669</v>
      </c>
      <c r="C317" s="43">
        <v>24215.24</v>
      </c>
      <c r="D317" s="43">
        <v>1890</v>
      </c>
      <c r="E317">
        <v>0</v>
      </c>
      <c r="F317" s="43">
        <v>26105.24</v>
      </c>
    </row>
    <row r="318" spans="1:6" x14ac:dyDescent="0.25">
      <c r="A318" t="s">
        <v>670</v>
      </c>
      <c r="B318" t="s">
        <v>671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t="s">
        <v>672</v>
      </c>
      <c r="B319" t="s">
        <v>673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t="s">
        <v>674</v>
      </c>
      <c r="B320" t="s">
        <v>675</v>
      </c>
      <c r="C320" s="43">
        <v>11475.72</v>
      </c>
      <c r="D320" s="43">
        <v>2845.6</v>
      </c>
      <c r="E320">
        <v>0</v>
      </c>
      <c r="F320" s="43">
        <v>14321.32</v>
      </c>
    </row>
    <row r="321" spans="1:6" x14ac:dyDescent="0.25">
      <c r="A321" t="s">
        <v>676</v>
      </c>
      <c r="B321" t="s">
        <v>677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t="s">
        <v>678</v>
      </c>
      <c r="B322" t="s">
        <v>679</v>
      </c>
      <c r="C322">
        <v>0</v>
      </c>
      <c r="D322" s="43">
        <v>2041.6</v>
      </c>
      <c r="E322">
        <v>0</v>
      </c>
      <c r="F322" s="43">
        <v>2041.6</v>
      </c>
    </row>
    <row r="323" spans="1:6" x14ac:dyDescent="0.25">
      <c r="A323" t="s">
        <v>680</v>
      </c>
      <c r="B323" t="s">
        <v>681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t="s">
        <v>682</v>
      </c>
      <c r="B324" t="s">
        <v>683</v>
      </c>
      <c r="C324" s="43">
        <v>1341.2</v>
      </c>
      <c r="D324">
        <v>257.94</v>
      </c>
      <c r="E324">
        <v>0</v>
      </c>
      <c r="F324" s="43">
        <v>1599.14</v>
      </c>
    </row>
    <row r="325" spans="1:6" x14ac:dyDescent="0.25">
      <c r="A325" t="s">
        <v>684</v>
      </c>
      <c r="B325" t="s">
        <v>685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t="s">
        <v>686</v>
      </c>
      <c r="B326" t="s">
        <v>687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t="s">
        <v>688</v>
      </c>
      <c r="B327" t="s">
        <v>689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t="s">
        <v>690</v>
      </c>
      <c r="B328" t="s">
        <v>691</v>
      </c>
      <c r="C328">
        <v>0</v>
      </c>
      <c r="D328">
        <v>41.5</v>
      </c>
      <c r="E328">
        <v>0</v>
      </c>
      <c r="F328">
        <v>41.5</v>
      </c>
    </row>
    <row r="329" spans="1:6" x14ac:dyDescent="0.25">
      <c r="A329" t="s">
        <v>692</v>
      </c>
      <c r="B329" t="s">
        <v>693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t="s">
        <v>694</v>
      </c>
      <c r="B330" t="s">
        <v>695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t="s">
        <v>696</v>
      </c>
      <c r="B331" t="s">
        <v>697</v>
      </c>
      <c r="C331" s="43">
        <v>19283.88</v>
      </c>
      <c r="D331">
        <v>0</v>
      </c>
      <c r="E331">
        <v>0</v>
      </c>
      <c r="F331" s="43">
        <v>19283.88</v>
      </c>
    </row>
    <row r="332" spans="1:6" x14ac:dyDescent="0.25">
      <c r="A332" t="s">
        <v>698</v>
      </c>
      <c r="B332" t="s">
        <v>699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t="s">
        <v>700</v>
      </c>
      <c r="B333" t="s">
        <v>701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t="s">
        <v>702</v>
      </c>
      <c r="B334" t="s">
        <v>703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t="s">
        <v>704</v>
      </c>
      <c r="B335" t="s">
        <v>705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t="s">
        <v>706</v>
      </c>
      <c r="B336" t="s">
        <v>707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t="s">
        <v>708</v>
      </c>
      <c r="B337" t="s">
        <v>709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t="s">
        <v>710</v>
      </c>
      <c r="B338" t="s">
        <v>711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t="s">
        <v>712</v>
      </c>
      <c r="B339" t="s">
        <v>559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t="s">
        <v>713</v>
      </c>
      <c r="B340" t="s">
        <v>714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t="s">
        <v>715</v>
      </c>
      <c r="B341" t="s">
        <v>716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t="s">
        <v>717</v>
      </c>
      <c r="B342" t="s">
        <v>718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t="s">
        <v>719</v>
      </c>
      <c r="B343" t="s">
        <v>720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t="s">
        <v>721</v>
      </c>
      <c r="B344" t="s">
        <v>722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t="s">
        <v>723</v>
      </c>
      <c r="B345" t="s">
        <v>724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t="s">
        <v>725</v>
      </c>
      <c r="B346" t="s">
        <v>726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t="s">
        <v>727</v>
      </c>
      <c r="B347" t="s">
        <v>728</v>
      </c>
      <c r="C347" s="43">
        <v>5364206.42</v>
      </c>
      <c r="D347" s="43">
        <v>1911242.6</v>
      </c>
      <c r="E347">
        <v>0</v>
      </c>
      <c r="F347" s="43">
        <v>7275449.0199999996</v>
      </c>
    </row>
    <row r="348" spans="1:6" x14ac:dyDescent="0.25">
      <c r="A348" t="s">
        <v>729</v>
      </c>
      <c r="B348" t="s">
        <v>730</v>
      </c>
      <c r="C348" s="43">
        <v>4436646.03</v>
      </c>
      <c r="D348" s="43">
        <v>1551631.54</v>
      </c>
      <c r="E348">
        <v>0</v>
      </c>
      <c r="F348" s="43">
        <v>5988277.5700000003</v>
      </c>
    </row>
    <row r="349" spans="1:6" x14ac:dyDescent="0.25">
      <c r="A349" t="s">
        <v>731</v>
      </c>
      <c r="B349" t="s">
        <v>732</v>
      </c>
      <c r="C349" s="43">
        <v>701275</v>
      </c>
      <c r="D349" s="43">
        <v>236184</v>
      </c>
      <c r="E349">
        <v>0</v>
      </c>
      <c r="F349" s="43">
        <v>937459</v>
      </c>
    </row>
    <row r="350" spans="1:6" x14ac:dyDescent="0.25">
      <c r="A350" t="s">
        <v>733</v>
      </c>
      <c r="B350" t="s">
        <v>734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t="s">
        <v>735</v>
      </c>
      <c r="B351" t="s">
        <v>736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t="s">
        <v>737</v>
      </c>
      <c r="B352" t="s">
        <v>738</v>
      </c>
      <c r="C352" s="43">
        <v>485471.12</v>
      </c>
      <c r="D352" s="43">
        <v>141849.54999999999</v>
      </c>
      <c r="E352">
        <v>0</v>
      </c>
      <c r="F352" s="43">
        <v>627320.67000000004</v>
      </c>
    </row>
    <row r="353" spans="1:6" x14ac:dyDescent="0.25">
      <c r="A353" t="s">
        <v>739</v>
      </c>
      <c r="B353" t="s">
        <v>740</v>
      </c>
      <c r="C353" s="43">
        <v>21661.91</v>
      </c>
      <c r="D353" s="43">
        <v>9566</v>
      </c>
      <c r="E353">
        <v>0</v>
      </c>
      <c r="F353" s="43">
        <v>31227.91</v>
      </c>
    </row>
    <row r="354" spans="1:6" x14ac:dyDescent="0.25">
      <c r="A354" t="s">
        <v>741</v>
      </c>
      <c r="B354" t="s">
        <v>742</v>
      </c>
      <c r="C354" s="43">
        <v>15088</v>
      </c>
      <c r="D354" s="43">
        <v>3711</v>
      </c>
      <c r="E354">
        <v>0</v>
      </c>
      <c r="F354" s="43">
        <v>18799</v>
      </c>
    </row>
    <row r="355" spans="1:6" x14ac:dyDescent="0.25">
      <c r="A355" t="s">
        <v>743</v>
      </c>
      <c r="B355" t="s">
        <v>744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t="s">
        <v>745</v>
      </c>
      <c r="B356" t="s">
        <v>746</v>
      </c>
      <c r="C356" s="43">
        <v>2294767.34</v>
      </c>
      <c r="D356" s="43">
        <v>824524.52</v>
      </c>
      <c r="E356">
        <v>0</v>
      </c>
      <c r="F356" s="43">
        <v>3119291.86</v>
      </c>
    </row>
    <row r="357" spans="1:6" x14ac:dyDescent="0.25">
      <c r="A357" t="s">
        <v>747</v>
      </c>
      <c r="B357" t="s">
        <v>748</v>
      </c>
      <c r="C357" s="43">
        <v>635438.72</v>
      </c>
      <c r="D357" s="43">
        <v>239949.25</v>
      </c>
      <c r="E357">
        <v>0</v>
      </c>
      <c r="F357" s="43">
        <v>875387.97</v>
      </c>
    </row>
    <row r="358" spans="1:6" x14ac:dyDescent="0.25">
      <c r="A358" t="s">
        <v>749</v>
      </c>
      <c r="B358" t="s">
        <v>750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t="s">
        <v>751</v>
      </c>
      <c r="B359" t="s">
        <v>752</v>
      </c>
      <c r="C359" s="43">
        <v>59992.89</v>
      </c>
      <c r="D359" s="43">
        <v>17943.22</v>
      </c>
      <c r="E359">
        <v>0</v>
      </c>
      <c r="F359" s="43">
        <v>77936.11</v>
      </c>
    </row>
    <row r="360" spans="1:6" x14ac:dyDescent="0.25">
      <c r="A360" t="s">
        <v>753</v>
      </c>
      <c r="B360" t="s">
        <v>754</v>
      </c>
      <c r="C360" s="43">
        <v>18629</v>
      </c>
      <c r="D360" s="43">
        <v>6100</v>
      </c>
      <c r="E360">
        <v>0</v>
      </c>
      <c r="F360" s="43">
        <v>24729</v>
      </c>
    </row>
    <row r="361" spans="1:6" x14ac:dyDescent="0.25">
      <c r="A361" t="s">
        <v>755</v>
      </c>
      <c r="B361" t="s">
        <v>756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t="s">
        <v>757</v>
      </c>
      <c r="B362" t="s">
        <v>758</v>
      </c>
      <c r="C362" s="43">
        <v>194184</v>
      </c>
      <c r="D362" s="43">
        <v>68904</v>
      </c>
      <c r="E362">
        <v>0</v>
      </c>
      <c r="F362" s="43">
        <v>263088</v>
      </c>
    </row>
    <row r="363" spans="1:6" x14ac:dyDescent="0.25">
      <c r="A363" t="s">
        <v>759</v>
      </c>
      <c r="B363" t="s">
        <v>760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t="s">
        <v>761</v>
      </c>
      <c r="B364" t="s">
        <v>762</v>
      </c>
      <c r="C364" s="43">
        <v>1438.05</v>
      </c>
      <c r="D364">
        <v>0</v>
      </c>
      <c r="E364">
        <v>0</v>
      </c>
      <c r="F364" s="43">
        <v>1438.05</v>
      </c>
    </row>
    <row r="365" spans="1:6" x14ac:dyDescent="0.25">
      <c r="A365" t="s">
        <v>763</v>
      </c>
      <c r="B365" t="s">
        <v>764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t="s">
        <v>765</v>
      </c>
      <c r="B366" t="s">
        <v>766</v>
      </c>
      <c r="C366" s="43">
        <v>8700</v>
      </c>
      <c r="D366" s="43">
        <v>2900</v>
      </c>
      <c r="E366">
        <v>0</v>
      </c>
      <c r="F366" s="43">
        <v>11600</v>
      </c>
    </row>
    <row r="367" spans="1:6" x14ac:dyDescent="0.25">
      <c r="A367" t="s">
        <v>767</v>
      </c>
      <c r="B367" t="s">
        <v>768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t="s">
        <v>769</v>
      </c>
      <c r="B368" t="s">
        <v>703</v>
      </c>
      <c r="C368" s="43">
        <v>810969.81</v>
      </c>
      <c r="D368" s="43">
        <v>316661.28000000003</v>
      </c>
      <c r="E368">
        <v>0</v>
      </c>
      <c r="F368" s="43">
        <v>1127631.0900000001</v>
      </c>
    </row>
    <row r="369" spans="1:6" x14ac:dyDescent="0.25">
      <c r="A369" t="s">
        <v>770</v>
      </c>
      <c r="B369" t="s">
        <v>771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t="s">
        <v>772</v>
      </c>
      <c r="B370" t="s">
        <v>773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t="s">
        <v>774</v>
      </c>
      <c r="B371" t="s">
        <v>559</v>
      </c>
      <c r="C371" s="43">
        <v>360000</v>
      </c>
      <c r="D371" s="43">
        <v>180000</v>
      </c>
      <c r="E371">
        <v>0</v>
      </c>
      <c r="F371" s="43">
        <v>540000</v>
      </c>
    </row>
    <row r="372" spans="1:6" x14ac:dyDescent="0.25">
      <c r="A372" t="s">
        <v>775</v>
      </c>
      <c r="B372" t="s">
        <v>776</v>
      </c>
      <c r="C372" s="43">
        <v>173300.99</v>
      </c>
      <c r="D372" s="43">
        <v>52269.760000000002</v>
      </c>
      <c r="E372">
        <v>0</v>
      </c>
      <c r="F372" s="43">
        <v>225570.75</v>
      </c>
    </row>
    <row r="373" spans="1:6" x14ac:dyDescent="0.25">
      <c r="A373" t="s">
        <v>777</v>
      </c>
      <c r="B373" t="s">
        <v>716</v>
      </c>
      <c r="C373" s="43">
        <v>4937.01</v>
      </c>
      <c r="D373" s="43">
        <v>6347.06</v>
      </c>
      <c r="E373">
        <v>0</v>
      </c>
      <c r="F373" s="43">
        <v>11284.07</v>
      </c>
    </row>
    <row r="374" spans="1:6" x14ac:dyDescent="0.25">
      <c r="A374" t="s">
        <v>778</v>
      </c>
      <c r="B374" t="s">
        <v>779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t="s">
        <v>780</v>
      </c>
      <c r="B375" t="s">
        <v>781</v>
      </c>
      <c r="C375" s="43">
        <v>33319.980000000003</v>
      </c>
      <c r="D375" s="43">
        <v>10313.51</v>
      </c>
      <c r="E375">
        <v>0</v>
      </c>
      <c r="F375" s="43">
        <v>43633.49</v>
      </c>
    </row>
    <row r="376" spans="1:6" x14ac:dyDescent="0.25">
      <c r="A376" t="s">
        <v>782</v>
      </c>
      <c r="B376" t="s">
        <v>783</v>
      </c>
      <c r="C376" s="43">
        <v>38220.1</v>
      </c>
      <c r="D376" s="43">
        <v>9225.5400000000009</v>
      </c>
      <c r="E376">
        <v>0</v>
      </c>
      <c r="F376" s="43">
        <v>47445.64</v>
      </c>
    </row>
    <row r="377" spans="1:6" x14ac:dyDescent="0.25">
      <c r="A377" t="s">
        <v>784</v>
      </c>
      <c r="B377" t="s">
        <v>785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t="s">
        <v>786</v>
      </c>
      <c r="B378" t="s">
        <v>787</v>
      </c>
      <c r="C378" s="43">
        <v>51017.07</v>
      </c>
      <c r="D378" s="43">
        <v>16463.439999999999</v>
      </c>
      <c r="E378">
        <v>0</v>
      </c>
      <c r="F378" s="43">
        <v>67480.509999999995</v>
      </c>
    </row>
    <row r="379" spans="1:6" x14ac:dyDescent="0.25">
      <c r="A379" t="s">
        <v>788</v>
      </c>
      <c r="B379" t="s">
        <v>789</v>
      </c>
      <c r="C379" s="43">
        <v>150174.66</v>
      </c>
      <c r="D379" s="43">
        <v>42041.97</v>
      </c>
      <c r="E379">
        <v>0</v>
      </c>
      <c r="F379" s="43">
        <v>192216.63</v>
      </c>
    </row>
    <row r="380" spans="1:6" x14ac:dyDescent="0.25">
      <c r="A380" t="s">
        <v>790</v>
      </c>
      <c r="B380" t="s">
        <v>791</v>
      </c>
      <c r="C380" s="43">
        <v>96067.47</v>
      </c>
      <c r="D380" s="43">
        <v>37713.54</v>
      </c>
      <c r="E380">
        <v>0</v>
      </c>
      <c r="F380" s="43">
        <v>133781.01</v>
      </c>
    </row>
    <row r="381" spans="1:6" x14ac:dyDescent="0.25">
      <c r="A381" t="s">
        <v>792</v>
      </c>
      <c r="B381" t="s">
        <v>793</v>
      </c>
      <c r="C381" s="43">
        <v>91216.35</v>
      </c>
      <c r="D381" s="43">
        <v>30405.45</v>
      </c>
      <c r="E381">
        <v>0</v>
      </c>
      <c r="F381" s="43">
        <v>121621.8</v>
      </c>
    </row>
    <row r="382" spans="1:6" x14ac:dyDescent="0.25">
      <c r="A382" t="s">
        <v>794</v>
      </c>
      <c r="B382" t="s">
        <v>795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t="s">
        <v>796</v>
      </c>
      <c r="B383" t="s">
        <v>797</v>
      </c>
      <c r="C383" s="43">
        <v>4851.12</v>
      </c>
      <c r="D383" s="43">
        <v>7308.09</v>
      </c>
      <c r="E383">
        <v>0</v>
      </c>
      <c r="F383" s="43">
        <v>12159.21</v>
      </c>
    </row>
    <row r="384" spans="1:6" x14ac:dyDescent="0.25">
      <c r="A384" t="s">
        <v>798</v>
      </c>
      <c r="B384" t="s">
        <v>799</v>
      </c>
      <c r="C384" s="43">
        <v>20523.11</v>
      </c>
      <c r="D384" s="43">
        <v>5236.24</v>
      </c>
      <c r="E384">
        <v>0</v>
      </c>
      <c r="F384" s="43">
        <v>25759.35</v>
      </c>
    </row>
    <row r="385" spans="1:6" x14ac:dyDescent="0.25">
      <c r="A385" t="s">
        <v>800</v>
      </c>
      <c r="B385" t="s">
        <v>801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t="s">
        <v>802</v>
      </c>
      <c r="B386" t="s">
        <v>803</v>
      </c>
      <c r="C386" s="43">
        <v>4999.99</v>
      </c>
      <c r="D386">
        <v>0</v>
      </c>
      <c r="E386">
        <v>0</v>
      </c>
      <c r="F386" s="43">
        <v>4999.99</v>
      </c>
    </row>
    <row r="387" spans="1:6" x14ac:dyDescent="0.25">
      <c r="A387" t="s">
        <v>804</v>
      </c>
      <c r="B387" t="s">
        <v>805</v>
      </c>
      <c r="C387" s="43">
        <v>15523.12</v>
      </c>
      <c r="D387" s="43">
        <v>5236.24</v>
      </c>
      <c r="E387">
        <v>0</v>
      </c>
      <c r="F387" s="43">
        <v>20759.36</v>
      </c>
    </row>
    <row r="388" spans="1:6" x14ac:dyDescent="0.25">
      <c r="A388" t="s">
        <v>806</v>
      </c>
      <c r="B388" t="s">
        <v>807</v>
      </c>
      <c r="C388" s="43">
        <v>1657335.24</v>
      </c>
      <c r="D388" s="43">
        <v>388325.56</v>
      </c>
      <c r="E388">
        <v>0</v>
      </c>
      <c r="F388" s="43">
        <v>2045660.8</v>
      </c>
    </row>
    <row r="389" spans="1:6" x14ac:dyDescent="0.25">
      <c r="A389" t="s">
        <v>808</v>
      </c>
      <c r="B389" t="s">
        <v>809</v>
      </c>
      <c r="C389" s="43">
        <v>567886.13</v>
      </c>
      <c r="D389" s="43">
        <v>102323.76</v>
      </c>
      <c r="E389">
        <v>0</v>
      </c>
      <c r="F389" s="43">
        <v>670209.89</v>
      </c>
    </row>
    <row r="390" spans="1:6" x14ac:dyDescent="0.25">
      <c r="A390" t="s">
        <v>810</v>
      </c>
      <c r="B390" t="s">
        <v>811</v>
      </c>
      <c r="C390" s="43">
        <v>560718.49</v>
      </c>
      <c r="D390" s="43">
        <v>102323.76</v>
      </c>
      <c r="E390">
        <v>0</v>
      </c>
      <c r="F390" s="43">
        <v>663042.25</v>
      </c>
    </row>
    <row r="391" spans="1:6" x14ac:dyDescent="0.25">
      <c r="A391" t="s">
        <v>812</v>
      </c>
      <c r="B391" t="s">
        <v>813</v>
      </c>
      <c r="C391" s="43">
        <v>7167.64</v>
      </c>
      <c r="D391">
        <v>0</v>
      </c>
      <c r="E391">
        <v>0</v>
      </c>
      <c r="F391" s="43">
        <v>7167.64</v>
      </c>
    </row>
    <row r="392" spans="1:6" x14ac:dyDescent="0.25">
      <c r="A392" t="s">
        <v>814</v>
      </c>
      <c r="B392" t="s">
        <v>815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t="s">
        <v>816</v>
      </c>
      <c r="B393" t="s">
        <v>817</v>
      </c>
      <c r="C393" s="43">
        <v>87056.51</v>
      </c>
      <c r="D393" s="43">
        <v>48296.04</v>
      </c>
      <c r="E393">
        <v>0</v>
      </c>
      <c r="F393" s="43">
        <v>135352.54999999999</v>
      </c>
    </row>
    <row r="394" spans="1:6" x14ac:dyDescent="0.25">
      <c r="A394" t="s">
        <v>818</v>
      </c>
      <c r="B394" t="s">
        <v>819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t="s">
        <v>820</v>
      </c>
      <c r="B395" t="s">
        <v>821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t="s">
        <v>822</v>
      </c>
      <c r="B396" t="s">
        <v>823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t="s">
        <v>824</v>
      </c>
      <c r="B397" t="s">
        <v>825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t="s">
        <v>826</v>
      </c>
      <c r="B398" t="s">
        <v>827</v>
      </c>
      <c r="C398" s="43">
        <v>46299.91</v>
      </c>
      <c r="D398" s="43">
        <v>5299.99</v>
      </c>
      <c r="E398">
        <v>0</v>
      </c>
      <c r="F398" s="43">
        <v>51599.9</v>
      </c>
    </row>
    <row r="399" spans="1:6" x14ac:dyDescent="0.25">
      <c r="A399" t="s">
        <v>828</v>
      </c>
      <c r="B399" t="s">
        <v>829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t="s">
        <v>830</v>
      </c>
      <c r="B400" t="s">
        <v>831</v>
      </c>
      <c r="C400" s="43">
        <v>36540</v>
      </c>
      <c r="D400">
        <v>0</v>
      </c>
      <c r="E400">
        <v>0</v>
      </c>
      <c r="F400" s="43">
        <v>36540</v>
      </c>
    </row>
    <row r="401" spans="1:6" x14ac:dyDescent="0.25">
      <c r="A401" t="s">
        <v>832</v>
      </c>
      <c r="B401" t="s">
        <v>833</v>
      </c>
      <c r="C401" s="43">
        <v>2476.6</v>
      </c>
      <c r="D401" s="43">
        <v>42996.05</v>
      </c>
      <c r="E401">
        <v>0</v>
      </c>
      <c r="F401" s="43">
        <v>45472.65</v>
      </c>
    </row>
    <row r="402" spans="1:6" x14ac:dyDescent="0.25">
      <c r="A402" t="s">
        <v>834</v>
      </c>
      <c r="B402" t="s">
        <v>835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t="s">
        <v>836</v>
      </c>
      <c r="B403" t="s">
        <v>837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t="s">
        <v>838</v>
      </c>
      <c r="B404" t="s">
        <v>839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t="s">
        <v>840</v>
      </c>
      <c r="B405" t="s">
        <v>841</v>
      </c>
      <c r="C405" s="43">
        <v>1740</v>
      </c>
      <c r="D405">
        <v>0</v>
      </c>
      <c r="E405">
        <v>0</v>
      </c>
      <c r="F405" s="43">
        <v>1740</v>
      </c>
    </row>
    <row r="406" spans="1:6" x14ac:dyDescent="0.25">
      <c r="A406" t="s">
        <v>842</v>
      </c>
      <c r="B406" t="s">
        <v>843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t="s">
        <v>844</v>
      </c>
      <c r="B407" t="s">
        <v>845</v>
      </c>
      <c r="C407" s="43">
        <v>11098.88</v>
      </c>
      <c r="D407">
        <v>0</v>
      </c>
      <c r="E407">
        <v>0</v>
      </c>
      <c r="F407" s="43">
        <v>11098.88</v>
      </c>
    </row>
    <row r="408" spans="1:6" x14ac:dyDescent="0.25">
      <c r="A408" t="s">
        <v>846</v>
      </c>
      <c r="B408" t="s">
        <v>847</v>
      </c>
      <c r="C408" s="43">
        <v>11098.88</v>
      </c>
      <c r="D408">
        <v>0</v>
      </c>
      <c r="E408">
        <v>0</v>
      </c>
      <c r="F408" s="43">
        <v>11098.88</v>
      </c>
    </row>
    <row r="409" spans="1:6" x14ac:dyDescent="0.25">
      <c r="A409" t="s">
        <v>848</v>
      </c>
      <c r="B409" t="s">
        <v>849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t="s">
        <v>850</v>
      </c>
      <c r="B410" t="s">
        <v>851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t="s">
        <v>852</v>
      </c>
      <c r="B411" t="s">
        <v>853</v>
      </c>
      <c r="C411" s="43">
        <v>20220.37</v>
      </c>
      <c r="D411" s="43">
        <v>11098.88</v>
      </c>
      <c r="E411">
        <v>0</v>
      </c>
      <c r="F411" s="43">
        <v>31319.25</v>
      </c>
    </row>
    <row r="412" spans="1:6" x14ac:dyDescent="0.25">
      <c r="A412" t="s">
        <v>854</v>
      </c>
      <c r="B412" t="s">
        <v>855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t="s">
        <v>856</v>
      </c>
      <c r="B413" t="s">
        <v>857</v>
      </c>
      <c r="C413" s="43">
        <v>20220.37</v>
      </c>
      <c r="D413" s="43">
        <v>11098.88</v>
      </c>
      <c r="E413">
        <v>0</v>
      </c>
      <c r="F413" s="43">
        <v>31319.25</v>
      </c>
    </row>
    <row r="414" spans="1:6" x14ac:dyDescent="0.25">
      <c r="A414" t="s">
        <v>858</v>
      </c>
      <c r="B414" t="s">
        <v>859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t="s">
        <v>860</v>
      </c>
      <c r="B415" t="s">
        <v>861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t="s">
        <v>862</v>
      </c>
      <c r="B416" t="s">
        <v>863</v>
      </c>
      <c r="C416" s="43">
        <v>47745.599999999999</v>
      </c>
      <c r="D416" s="43">
        <v>18739.8</v>
      </c>
      <c r="E416">
        <v>0</v>
      </c>
      <c r="F416" s="43">
        <v>66485.399999999994</v>
      </c>
    </row>
    <row r="417" spans="1:6" x14ac:dyDescent="0.25">
      <c r="A417" t="s">
        <v>864</v>
      </c>
      <c r="B417" t="s">
        <v>865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t="s">
        <v>866</v>
      </c>
      <c r="B418" t="s">
        <v>867</v>
      </c>
      <c r="C418" s="43">
        <v>24592</v>
      </c>
      <c r="D418">
        <v>0</v>
      </c>
      <c r="E418">
        <v>0</v>
      </c>
      <c r="F418" s="43">
        <v>24592</v>
      </c>
    </row>
    <row r="419" spans="1:6" x14ac:dyDescent="0.25">
      <c r="A419" t="s">
        <v>868</v>
      </c>
      <c r="B419" t="s">
        <v>869</v>
      </c>
      <c r="C419" s="43">
        <v>23153.599999999999</v>
      </c>
      <c r="D419" s="43">
        <v>18739.8</v>
      </c>
      <c r="E419">
        <v>0</v>
      </c>
      <c r="F419" s="43">
        <v>41893.4</v>
      </c>
    </row>
    <row r="420" spans="1:6" x14ac:dyDescent="0.25">
      <c r="A420" t="s">
        <v>870</v>
      </c>
      <c r="B420" t="s">
        <v>871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t="s">
        <v>872</v>
      </c>
      <c r="B421" t="s">
        <v>873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t="s">
        <v>874</v>
      </c>
      <c r="B422" t="s">
        <v>875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t="s">
        <v>876</v>
      </c>
      <c r="B423" t="s">
        <v>877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t="s">
        <v>878</v>
      </c>
      <c r="B424" t="s">
        <v>879</v>
      </c>
      <c r="C424" s="43">
        <v>375960</v>
      </c>
      <c r="D424" s="43">
        <v>125320</v>
      </c>
      <c r="E424">
        <v>0</v>
      </c>
      <c r="F424" s="43">
        <v>501280</v>
      </c>
    </row>
    <row r="425" spans="1:6" x14ac:dyDescent="0.25">
      <c r="A425" t="s">
        <v>880</v>
      </c>
      <c r="B425" t="s">
        <v>881</v>
      </c>
      <c r="C425" s="43">
        <v>375960</v>
      </c>
      <c r="D425" s="43">
        <v>125320</v>
      </c>
      <c r="E425">
        <v>0</v>
      </c>
      <c r="F425" s="43">
        <v>501280</v>
      </c>
    </row>
    <row r="426" spans="1:6" x14ac:dyDescent="0.25">
      <c r="A426" t="s">
        <v>882</v>
      </c>
      <c r="B426" t="s">
        <v>883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t="s">
        <v>884</v>
      </c>
      <c r="B427" t="s">
        <v>885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t="s">
        <v>886</v>
      </c>
      <c r="B428" t="s">
        <v>887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t="s">
        <v>888</v>
      </c>
      <c r="B429" t="s">
        <v>889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t="s">
        <v>890</v>
      </c>
      <c r="B430" t="s">
        <v>891</v>
      </c>
      <c r="C430" s="43">
        <v>247846.66</v>
      </c>
      <c r="D430" s="43">
        <v>20938</v>
      </c>
      <c r="E430">
        <v>0</v>
      </c>
      <c r="F430" s="43">
        <v>268784.65999999997</v>
      </c>
    </row>
    <row r="431" spans="1:6" x14ac:dyDescent="0.25">
      <c r="A431" t="s">
        <v>892</v>
      </c>
      <c r="B431" t="s">
        <v>893</v>
      </c>
      <c r="C431" s="43">
        <v>156037.5</v>
      </c>
      <c r="D431">
        <v>0</v>
      </c>
      <c r="E431">
        <v>0</v>
      </c>
      <c r="F431" s="43">
        <v>156037.5</v>
      </c>
    </row>
    <row r="432" spans="1:6" x14ac:dyDescent="0.25">
      <c r="A432" t="s">
        <v>894</v>
      </c>
      <c r="B432" t="s">
        <v>895</v>
      </c>
      <c r="C432" s="43">
        <v>32648.2</v>
      </c>
      <c r="D432">
        <v>0</v>
      </c>
      <c r="E432">
        <v>0</v>
      </c>
      <c r="F432" s="43">
        <v>32648.2</v>
      </c>
    </row>
    <row r="433" spans="1:6" x14ac:dyDescent="0.25">
      <c r="A433" t="s">
        <v>896</v>
      </c>
      <c r="B433" t="s">
        <v>897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t="s">
        <v>898</v>
      </c>
      <c r="B434" t="s">
        <v>899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t="s">
        <v>900</v>
      </c>
      <c r="B435" t="s">
        <v>901</v>
      </c>
      <c r="C435" s="43">
        <v>59160.959999999999</v>
      </c>
      <c r="D435" s="43">
        <v>20938</v>
      </c>
      <c r="E435">
        <v>0</v>
      </c>
      <c r="F435" s="43">
        <v>80098.960000000006</v>
      </c>
    </row>
    <row r="436" spans="1:6" x14ac:dyDescent="0.25">
      <c r="A436" t="s">
        <v>902</v>
      </c>
      <c r="B436" t="s">
        <v>903</v>
      </c>
      <c r="C436" s="43">
        <v>96430.3</v>
      </c>
      <c r="D436" s="43">
        <v>14332</v>
      </c>
      <c r="E436">
        <v>0</v>
      </c>
      <c r="F436" s="43">
        <v>110762.3</v>
      </c>
    </row>
    <row r="437" spans="1:6" x14ac:dyDescent="0.25">
      <c r="A437" t="s">
        <v>904</v>
      </c>
      <c r="B437" t="s">
        <v>905</v>
      </c>
      <c r="C437" s="43">
        <v>96430.3</v>
      </c>
      <c r="D437" s="43">
        <v>11832</v>
      </c>
      <c r="E437">
        <v>0</v>
      </c>
      <c r="F437" s="43">
        <v>108262.3</v>
      </c>
    </row>
    <row r="438" spans="1:6" x14ac:dyDescent="0.25">
      <c r="A438" t="s">
        <v>906</v>
      </c>
      <c r="B438" t="s">
        <v>907</v>
      </c>
      <c r="C438">
        <v>0</v>
      </c>
      <c r="D438" s="43">
        <v>2500</v>
      </c>
      <c r="E438">
        <v>0</v>
      </c>
      <c r="F438" s="43">
        <v>2500</v>
      </c>
    </row>
    <row r="439" spans="1:6" x14ac:dyDescent="0.25">
      <c r="A439" t="s">
        <v>908</v>
      </c>
      <c r="B439" t="s">
        <v>909</v>
      </c>
      <c r="C439" s="43">
        <v>29815.06</v>
      </c>
      <c r="D439">
        <v>0</v>
      </c>
      <c r="E439">
        <v>0</v>
      </c>
      <c r="F439" s="43">
        <v>29815.06</v>
      </c>
    </row>
    <row r="440" spans="1:6" x14ac:dyDescent="0.25">
      <c r="A440" t="s">
        <v>910</v>
      </c>
      <c r="B440" t="s">
        <v>911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t="s">
        <v>912</v>
      </c>
      <c r="B441" t="s">
        <v>913</v>
      </c>
      <c r="C441" s="43">
        <v>29815.06</v>
      </c>
      <c r="D441">
        <v>0</v>
      </c>
      <c r="E441">
        <v>0</v>
      </c>
      <c r="F441" s="43">
        <v>29815.06</v>
      </c>
    </row>
    <row r="442" spans="1:6" x14ac:dyDescent="0.25">
      <c r="A442" t="s">
        <v>914</v>
      </c>
      <c r="B442" t="s">
        <v>915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t="s">
        <v>916</v>
      </c>
      <c r="B443" t="s">
        <v>917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t="s">
        <v>918</v>
      </c>
      <c r="B444" t="s">
        <v>919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t="s">
        <v>920</v>
      </c>
      <c r="B445" t="s">
        <v>921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t="s">
        <v>922</v>
      </c>
      <c r="B446" t="s">
        <v>923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t="s">
        <v>924</v>
      </c>
      <c r="B447" t="s">
        <v>925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t="s">
        <v>926</v>
      </c>
      <c r="B448" t="s">
        <v>927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t="s">
        <v>928</v>
      </c>
      <c r="B449" t="s">
        <v>929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t="s">
        <v>930</v>
      </c>
      <c r="B450" t="s">
        <v>931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t="s">
        <v>932</v>
      </c>
      <c r="B451" t="s">
        <v>933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t="s">
        <v>934</v>
      </c>
      <c r="B452" t="s">
        <v>935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t="s">
        <v>936</v>
      </c>
      <c r="B453" t="s">
        <v>937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t="s">
        <v>938</v>
      </c>
      <c r="B454" t="s">
        <v>939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t="s">
        <v>940</v>
      </c>
      <c r="B455" t="s">
        <v>941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t="s">
        <v>942</v>
      </c>
      <c r="B456" t="s">
        <v>943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t="s">
        <v>944</v>
      </c>
      <c r="B457" t="s">
        <v>945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t="s">
        <v>946</v>
      </c>
      <c r="B458" t="s">
        <v>947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t="s">
        <v>948</v>
      </c>
      <c r="B459" t="s">
        <v>949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t="s">
        <v>950</v>
      </c>
      <c r="B460" t="s">
        <v>951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t="s">
        <v>952</v>
      </c>
      <c r="B461" t="s">
        <v>953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t="s">
        <v>954</v>
      </c>
      <c r="B462" t="s">
        <v>955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t="s">
        <v>956</v>
      </c>
      <c r="B463" t="s">
        <v>957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t="s">
        <v>958</v>
      </c>
      <c r="B464" t="s">
        <v>959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t="s">
        <v>960</v>
      </c>
      <c r="B465" t="s">
        <v>961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t="s">
        <v>962</v>
      </c>
      <c r="B466" t="s">
        <v>963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t="s">
        <v>964</v>
      </c>
      <c r="B467" t="s">
        <v>965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t="s">
        <v>966</v>
      </c>
      <c r="B468" t="s">
        <v>967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t="s">
        <v>968</v>
      </c>
      <c r="B469" t="s">
        <v>969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t="s">
        <v>970</v>
      </c>
      <c r="B470" t="s">
        <v>971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t="s">
        <v>972</v>
      </c>
      <c r="B471" t="s">
        <v>973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t="s">
        <v>974</v>
      </c>
      <c r="B472" t="s">
        <v>975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t="s">
        <v>976</v>
      </c>
      <c r="B473" t="s">
        <v>977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t="s">
        <v>978</v>
      </c>
      <c r="B474" t="s">
        <v>979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t="s">
        <v>980</v>
      </c>
      <c r="B475" t="s">
        <v>981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t="s">
        <v>982</v>
      </c>
      <c r="B476" t="s">
        <v>983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t="s">
        <v>984</v>
      </c>
      <c r="B477" t="s">
        <v>985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t="s">
        <v>986</v>
      </c>
      <c r="B478" t="s">
        <v>987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t="s">
        <v>988</v>
      </c>
      <c r="B479" t="s">
        <v>989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t="s">
        <v>990</v>
      </c>
      <c r="B480" t="s">
        <v>991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t="s">
        <v>992</v>
      </c>
      <c r="B481" t="s">
        <v>993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t="s">
        <v>994</v>
      </c>
      <c r="B482" t="s">
        <v>995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t="s">
        <v>996</v>
      </c>
      <c r="B483" t="s">
        <v>997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t="s">
        <v>998</v>
      </c>
      <c r="B484" t="s">
        <v>999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t="s">
        <v>1000</v>
      </c>
      <c r="B485" t="s">
        <v>1001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t="s">
        <v>1002</v>
      </c>
      <c r="B486" t="s">
        <v>1003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t="s">
        <v>1004</v>
      </c>
      <c r="B487" t="s">
        <v>1005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t="s">
        <v>1006</v>
      </c>
      <c r="B488" t="s">
        <v>1007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t="s">
        <v>1008</v>
      </c>
      <c r="B489" t="s">
        <v>1009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t="s">
        <v>1010</v>
      </c>
      <c r="B490" t="s">
        <v>1011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t="s">
        <v>1012</v>
      </c>
      <c r="B491" t="s">
        <v>1013</v>
      </c>
      <c r="C491" s="43">
        <v>173275.73</v>
      </c>
      <c r="D491" s="43">
        <v>47277.08</v>
      </c>
      <c r="E491">
        <v>0</v>
      </c>
      <c r="F491" s="43">
        <v>220552.81</v>
      </c>
    </row>
    <row r="492" spans="1:6" x14ac:dyDescent="0.25">
      <c r="A492" t="s">
        <v>1014</v>
      </c>
      <c r="B492" t="s">
        <v>1015</v>
      </c>
      <c r="C492" s="43">
        <v>14387.8</v>
      </c>
      <c r="D492">
        <v>0</v>
      </c>
      <c r="E492">
        <v>0</v>
      </c>
      <c r="F492" s="43">
        <v>14387.8</v>
      </c>
    </row>
    <row r="493" spans="1:6" x14ac:dyDescent="0.25">
      <c r="A493" t="s">
        <v>1016</v>
      </c>
      <c r="B493" t="s">
        <v>1017</v>
      </c>
      <c r="C493" s="43">
        <v>59137.34</v>
      </c>
      <c r="D493" s="43">
        <v>16700.03</v>
      </c>
      <c r="E493">
        <v>0</v>
      </c>
      <c r="F493" s="43">
        <v>75837.37</v>
      </c>
    </row>
    <row r="494" spans="1:6" x14ac:dyDescent="0.25">
      <c r="A494" t="s">
        <v>1018</v>
      </c>
      <c r="B494" t="s">
        <v>1019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t="s">
        <v>1020</v>
      </c>
      <c r="B495" t="s">
        <v>1021</v>
      </c>
      <c r="C495" s="43">
        <v>29255.119999999999</v>
      </c>
      <c r="D495" s="43">
        <v>12130.65</v>
      </c>
      <c r="E495">
        <v>0</v>
      </c>
      <c r="F495" s="43">
        <v>41385.769999999997</v>
      </c>
    </row>
    <row r="496" spans="1:6" x14ac:dyDescent="0.25">
      <c r="A496" t="s">
        <v>1022</v>
      </c>
      <c r="B496" t="s">
        <v>1023</v>
      </c>
      <c r="C496" s="43">
        <v>35569.72</v>
      </c>
      <c r="D496">
        <v>714.5</v>
      </c>
      <c r="E496">
        <v>0</v>
      </c>
      <c r="F496" s="43">
        <v>36284.22</v>
      </c>
    </row>
    <row r="497" spans="1:6" x14ac:dyDescent="0.25">
      <c r="A497" t="s">
        <v>1024</v>
      </c>
      <c r="B497" t="s">
        <v>1025</v>
      </c>
      <c r="C497" s="43">
        <v>32262.75</v>
      </c>
      <c r="D497" s="43">
        <v>17731.900000000001</v>
      </c>
      <c r="E497">
        <v>0</v>
      </c>
      <c r="F497" s="43">
        <v>49994.65</v>
      </c>
    </row>
    <row r="498" spans="1:6" x14ac:dyDescent="0.25">
      <c r="A498" t="s">
        <v>1026</v>
      </c>
      <c r="B498" t="s">
        <v>1027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t="s">
        <v>1028</v>
      </c>
      <c r="B499" t="s">
        <v>1029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t="s">
        <v>1030</v>
      </c>
      <c r="B500" t="s">
        <v>1031</v>
      </c>
      <c r="C500" s="43">
        <v>1363</v>
      </c>
      <c r="D500">
        <v>0</v>
      </c>
      <c r="E500">
        <v>0</v>
      </c>
      <c r="F500" s="43">
        <v>1363</v>
      </c>
    </row>
    <row r="501" spans="1:6" x14ac:dyDescent="0.25">
      <c r="A501" t="s">
        <v>1032</v>
      </c>
      <c r="B501" t="s">
        <v>1033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t="s">
        <v>1034</v>
      </c>
      <c r="B502" t="s">
        <v>685</v>
      </c>
      <c r="C502" s="43">
        <v>1300</v>
      </c>
      <c r="D502">
        <v>0</v>
      </c>
      <c r="E502">
        <v>0</v>
      </c>
      <c r="F502" s="43">
        <v>1300</v>
      </c>
    </row>
    <row r="503" spans="1:6" x14ac:dyDescent="0.25">
      <c r="A503" t="s">
        <v>1035</v>
      </c>
      <c r="B503" t="s">
        <v>1036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t="s">
        <v>1037</v>
      </c>
      <c r="B504" t="s">
        <v>1036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t="s">
        <v>1038</v>
      </c>
      <c r="B505" t="s">
        <v>1039</v>
      </c>
      <c r="C505" s="43">
        <v>342901.25</v>
      </c>
      <c r="D505" s="43">
        <v>387747.84000000003</v>
      </c>
      <c r="E505">
        <v>0</v>
      </c>
      <c r="F505" s="43">
        <v>730649.09</v>
      </c>
    </row>
    <row r="506" spans="1:6" x14ac:dyDescent="0.25">
      <c r="A506" t="s">
        <v>1040</v>
      </c>
      <c r="B506" t="s">
        <v>1041</v>
      </c>
      <c r="C506" s="43">
        <v>342901.25</v>
      </c>
      <c r="D506" s="43">
        <v>387747.84000000003</v>
      </c>
      <c r="E506">
        <v>0</v>
      </c>
      <c r="F506" s="43">
        <v>730649.09</v>
      </c>
    </row>
    <row r="507" spans="1:6" x14ac:dyDescent="0.25">
      <c r="A507" t="s">
        <v>1042</v>
      </c>
      <c r="B507" t="s">
        <v>1043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t="s">
        <v>1044</v>
      </c>
      <c r="B508" t="s">
        <v>1045</v>
      </c>
      <c r="C508" s="43">
        <v>5325008.62</v>
      </c>
      <c r="D508" s="43">
        <v>1545456.29</v>
      </c>
      <c r="E508">
        <v>0</v>
      </c>
      <c r="F508" s="43">
        <v>6870464.9100000001</v>
      </c>
    </row>
    <row r="509" spans="1:6" x14ac:dyDescent="0.25">
      <c r="A509" t="s">
        <v>1046</v>
      </c>
      <c r="B509" t="s">
        <v>1047</v>
      </c>
      <c r="C509" s="43">
        <v>5325008.62</v>
      </c>
      <c r="D509" s="43">
        <v>1545456.29</v>
      </c>
      <c r="E509">
        <v>0</v>
      </c>
      <c r="F509" s="43">
        <v>6870464.9100000001</v>
      </c>
    </row>
    <row r="510" spans="1:6" x14ac:dyDescent="0.25">
      <c r="A510" t="s">
        <v>1048</v>
      </c>
      <c r="B510" t="s">
        <v>1049</v>
      </c>
      <c r="C510" s="43">
        <v>67193.58</v>
      </c>
      <c r="D510">
        <v>0</v>
      </c>
      <c r="E510">
        <v>0</v>
      </c>
      <c r="F510" s="43">
        <v>67193.58</v>
      </c>
    </row>
    <row r="511" spans="1:6" x14ac:dyDescent="0.25">
      <c r="A511" t="s">
        <v>1050</v>
      </c>
      <c r="B511" t="s">
        <v>1051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t="s">
        <v>1052</v>
      </c>
      <c r="B512" t="s">
        <v>1053</v>
      </c>
      <c r="C512" s="43">
        <v>4875953.25</v>
      </c>
      <c r="D512" s="43">
        <v>1148146.82</v>
      </c>
      <c r="E512">
        <v>0</v>
      </c>
      <c r="F512" s="43">
        <v>6024100.0700000003</v>
      </c>
    </row>
    <row r="513" spans="1:6" x14ac:dyDescent="0.25">
      <c r="A513" t="s">
        <v>1054</v>
      </c>
      <c r="B513" t="s">
        <v>1055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t="s">
        <v>1056</v>
      </c>
      <c r="B514" t="s">
        <v>1057</v>
      </c>
      <c r="C514" s="43">
        <v>9280</v>
      </c>
      <c r="D514">
        <v>0</v>
      </c>
      <c r="E514">
        <v>0</v>
      </c>
      <c r="F514" s="43">
        <v>9280</v>
      </c>
    </row>
    <row r="515" spans="1:6" x14ac:dyDescent="0.25">
      <c r="A515" t="s">
        <v>1058</v>
      </c>
      <c r="B515" t="s">
        <v>1059</v>
      </c>
      <c r="C515" s="43">
        <v>372581.79</v>
      </c>
      <c r="D515" s="43">
        <v>397309.47</v>
      </c>
      <c r="E515">
        <v>0</v>
      </c>
      <c r="F515" s="43">
        <v>769891.26</v>
      </c>
    </row>
    <row r="516" spans="1:6" x14ac:dyDescent="0.25">
      <c r="A516" t="s">
        <v>1060</v>
      </c>
      <c r="B516" t="s">
        <v>1061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t="s">
        <v>1062</v>
      </c>
      <c r="B517" t="s">
        <v>1063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t="s">
        <v>1064</v>
      </c>
      <c r="B518" t="s">
        <v>1065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t="s">
        <v>1066</v>
      </c>
      <c r="B519" t="s">
        <v>1067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t="s">
        <v>1068</v>
      </c>
      <c r="B520" t="s">
        <v>1069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t="s">
        <v>1070</v>
      </c>
      <c r="B521" t="s">
        <v>1071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t="s">
        <v>1072</v>
      </c>
      <c r="B522" t="s">
        <v>1073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t="s">
        <v>1074</v>
      </c>
      <c r="B523" t="s">
        <v>1075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t="s">
        <v>1076</v>
      </c>
      <c r="B524" t="s">
        <v>1077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t="s">
        <v>1078</v>
      </c>
      <c r="B525" t="s">
        <v>1079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t="s">
        <v>1080</v>
      </c>
      <c r="B526" t="s">
        <v>1081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t="s">
        <v>1082</v>
      </c>
      <c r="B527" t="s">
        <v>1083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t="s">
        <v>1084</v>
      </c>
      <c r="B528" t="s">
        <v>1085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t="s">
        <v>1086</v>
      </c>
      <c r="B529" t="s">
        <v>1087</v>
      </c>
      <c r="C529" s="43">
        <v>10726.07</v>
      </c>
      <c r="D529">
        <v>0</v>
      </c>
      <c r="E529">
        <v>0</v>
      </c>
      <c r="F529" s="43">
        <v>10726.07</v>
      </c>
    </row>
    <row r="530" spans="1:6" x14ac:dyDescent="0.25">
      <c r="A530" t="s">
        <v>1088</v>
      </c>
      <c r="B530" t="s">
        <v>1089</v>
      </c>
      <c r="C530" s="43">
        <v>10726.07</v>
      </c>
      <c r="D530">
        <v>0</v>
      </c>
      <c r="E530">
        <v>0</v>
      </c>
      <c r="F530" s="43">
        <v>10726.07</v>
      </c>
    </row>
    <row r="531" spans="1:6" x14ac:dyDescent="0.25">
      <c r="A531" t="s">
        <v>1090</v>
      </c>
      <c r="B531" t="s">
        <v>1091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t="s">
        <v>1092</v>
      </c>
      <c r="B532" t="s">
        <v>1087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t="s">
        <v>1093</v>
      </c>
      <c r="B533" t="s">
        <v>1089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t="s">
        <v>1094</v>
      </c>
      <c r="B534" t="s">
        <v>1095</v>
      </c>
      <c r="C534">
        <v>0</v>
      </c>
      <c r="D534">
        <v>0</v>
      </c>
      <c r="E534">
        <v>0</v>
      </c>
      <c r="F5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0BAD-3791-4E7D-9DEE-6130D2E0DFC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</vt:lpstr>
      <vt:lpstr>CONTABILIDAD</vt:lpstr>
      <vt:lpstr>COBRANZA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OPER31</dc:creator>
  <cp:lastModifiedBy>Luxury Group</cp:lastModifiedBy>
  <dcterms:created xsi:type="dcterms:W3CDTF">2024-12-19T16:09:11Z</dcterms:created>
  <dcterms:modified xsi:type="dcterms:W3CDTF">2026-06-16T19:41:04Z</dcterms:modified>
</cp:coreProperties>
</file>